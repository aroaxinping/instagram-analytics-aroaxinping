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🎬 Reels Raw" sheetId="2" state="visible" r:id="rId2"/>
    <sheet xmlns:r="http://schemas.openxmlformats.org/officeDocument/2006/relationships" name="📐 Engagement Calc" sheetId="3" state="visible" r:id="rId3"/>
    <sheet xmlns:r="http://schemas.openxmlformats.org/officeDocument/2006/relationships" name="📈 Métricas Avanz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B388EB"/>
      <sz val="13"/>
    </font>
    <font>
      <name val="Calibri"/>
      <b val="1"/>
      <color rgb="FFFCD34D"/>
      <sz val="10"/>
    </font>
    <font>
      <name val="Calibri"/>
      <b val="1"/>
      <color rgb="FFE2E8F0"/>
      <sz val="10"/>
    </font>
    <font>
      <name val="Calibri"/>
      <color rgb="FFE2E8F0"/>
      <sz val="10"/>
    </font>
    <font>
      <name val="Calibri"/>
      <b val="1"/>
      <color rgb="FFE6A8D7"/>
      <sz val="11"/>
    </font>
    <font>
      <b val="1"/>
      <color rgb="FFFCD34D"/>
      <sz val="11"/>
    </font>
    <font>
      <b val="1"/>
      <color rgb="FFFCD34D"/>
      <sz val="10"/>
    </font>
  </fonts>
  <fills count="6">
    <fill>
      <patternFill/>
    </fill>
    <fill>
      <patternFill patternType="gray125"/>
    </fill>
    <fill>
      <patternFill patternType="solid">
        <fgColor rgb="FF2D1B69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3B0764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6" fillId="2" borderId="1" pivotButton="0" quotePrefix="0" xfId="0"/>
    <xf numFmtId="3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34" customWidth="1" min="5" max="5"/>
  </cols>
  <sheetData>
    <row r="1" ht="35" customHeight="1">
      <c r="A1" s="1" t="inlineStr">
        <is>
          <t>📊 Instagram Analytics — aroaxinping | 24 Feb – 23 Mar 2026</t>
        </is>
      </c>
    </row>
    <row r="3" ht="22" customHeight="1">
      <c r="A3" s="2" t="inlineStr">
        <is>
          <t>Métrica</t>
        </is>
      </c>
      <c r="B3" s="2" t="inlineStr">
        <is>
          <t>Valor</t>
        </is>
      </c>
      <c r="C3" s="2" t="inlineStr">
        <is>
          <t>Δ periodo</t>
        </is>
      </c>
      <c r="D3" s="2" t="inlineStr">
        <is>
          <t>Δ %</t>
        </is>
      </c>
      <c r="E3" s="2" t="inlineStr">
        <is>
          <t>Interpretación</t>
        </is>
      </c>
    </row>
    <row r="4" ht="22" customHeight="1">
      <c r="A4" s="3" t="inlineStr">
        <is>
          <t>Período analizado</t>
        </is>
      </c>
      <c r="B4" s="4" t="inlineStr">
        <is>
          <t>28 días</t>
        </is>
      </c>
      <c r="C4" s="5" t="inlineStr">
        <is>
          <t>—</t>
        </is>
      </c>
      <c r="D4" s="5" t="inlineStr">
        <is>
          <t>—</t>
        </is>
      </c>
      <c r="E4" s="6" t="inlineStr">
        <is>
          <t>24 feb – 23 mar 2026</t>
        </is>
      </c>
    </row>
    <row r="5" ht="22" customHeight="1">
      <c r="A5" s="7" t="inlineStr">
        <is>
          <t>Reels publicados</t>
        </is>
      </c>
      <c r="B5" s="8" t="n">
        <v>30</v>
      </c>
      <c r="C5" s="9" t="inlineStr">
        <is>
          <t>—</t>
        </is>
      </c>
      <c r="D5" s="9" t="inlineStr">
        <is>
          <t>—</t>
        </is>
      </c>
      <c r="E5" s="10" t="inlineStr">
        <is>
          <t>En el período analizado</t>
        </is>
      </c>
    </row>
    <row r="6" ht="22" customHeight="1">
      <c r="A6" s="3" t="inlineStr">
        <is>
          <t>Visualizaciones totales</t>
        </is>
      </c>
      <c r="B6" s="11" t="n">
        <v>7269352</v>
      </c>
      <c r="C6" s="5" t="inlineStr">
        <is>
          <t>—</t>
        </is>
      </c>
      <c r="D6" s="5" t="inlineStr">
        <is>
          <t>—</t>
        </is>
      </c>
      <c r="E6" s="6" t="inlineStr">
        <is>
          <t>Reproducciones acumuladas</t>
        </is>
      </c>
    </row>
    <row r="7" ht="22" customHeight="1">
      <c r="A7" s="7" t="inlineStr">
        <is>
          <t>Alcance total</t>
        </is>
      </c>
      <c r="B7" s="8" t="n">
        <v>3987445</v>
      </c>
      <c r="C7" s="9" t="inlineStr">
        <is>
          <t>—</t>
        </is>
      </c>
      <c r="D7" s="9" t="inlineStr">
        <is>
          <t>—</t>
        </is>
      </c>
      <c r="E7" s="10" t="inlineStr">
        <is>
          <t>Cuentas únicas alcanzadas</t>
        </is>
      </c>
    </row>
    <row r="8" ht="22" customHeight="1">
      <c r="A8" s="3" t="inlineStr">
        <is>
          <t>Likes totales</t>
        </is>
      </c>
      <c r="B8" s="11" t="n">
        <v>408562</v>
      </c>
      <c r="C8" s="5" t="inlineStr">
        <is>
          <t>—</t>
        </is>
      </c>
      <c r="D8" s="5" t="inlineStr">
        <is>
          <t>—</t>
        </is>
      </c>
      <c r="E8" s="6" t="inlineStr"/>
    </row>
    <row r="9" ht="22" customHeight="1">
      <c r="A9" s="7" t="inlineStr">
        <is>
          <t>Comentarios</t>
        </is>
      </c>
      <c r="B9" s="8" t="n">
        <v>3338</v>
      </c>
      <c r="C9" s="9" t="inlineStr">
        <is>
          <t>—</t>
        </is>
      </c>
      <c r="D9" s="9" t="inlineStr">
        <is>
          <t>—</t>
        </is>
      </c>
      <c r="E9" s="10" t="inlineStr"/>
    </row>
    <row r="10" ht="22" customHeight="1">
      <c r="A10" s="3" t="inlineStr">
        <is>
          <t>Guardados</t>
        </is>
      </c>
      <c r="B10" s="11" t="n">
        <v>36106</v>
      </c>
      <c r="C10" s="5" t="inlineStr">
        <is>
          <t>—</t>
        </is>
      </c>
      <c r="D10" s="5" t="inlineStr">
        <is>
          <t>—</t>
        </is>
      </c>
      <c r="E10" s="6" t="inlineStr">
        <is>
          <t>Señal de calidad clave en Instagram</t>
        </is>
      </c>
    </row>
    <row r="11" ht="22" customHeight="1">
      <c r="A11" s="7" t="inlineStr">
        <is>
          <t>Compartidos</t>
        </is>
      </c>
      <c r="B11" s="8" t="n">
        <v>177062</v>
      </c>
      <c r="C11" s="9" t="inlineStr">
        <is>
          <t>—</t>
        </is>
      </c>
      <c r="D11" s="9" t="inlineStr">
        <is>
          <t>—</t>
        </is>
      </c>
      <c r="E11" s="10" t="inlineStr"/>
    </row>
    <row r="12" ht="22" customHeight="1">
      <c r="A12" s="3" t="inlineStr">
        <is>
          <t>Seguidores ganados</t>
        </is>
      </c>
      <c r="B12" s="11" t="n">
        <v>7682</v>
      </c>
      <c r="C12" s="5" t="inlineStr">
        <is>
          <t>—</t>
        </is>
      </c>
      <c r="D12" s="5" t="inlineStr">
        <is>
          <t>—</t>
        </is>
      </c>
      <c r="E12" s="6" t="inlineStr">
        <is>
          <t>+X sobre base</t>
        </is>
      </c>
    </row>
    <row r="13" ht="22" customHeight="1">
      <c r="A13" s="7" t="inlineStr">
        <is>
          <t>Seguidores totales</t>
        </is>
      </c>
      <c r="B13" s="8" t="n">
        <v>8728</v>
      </c>
      <c r="C13" s="9" t="inlineStr">
        <is>
          <t>—</t>
        </is>
      </c>
      <c r="D13" s="9" t="inlineStr">
        <is>
          <t>—</t>
        </is>
      </c>
      <c r="E13" s="10" t="inlineStr">
        <is>
          <t>Al cierre del periodo</t>
        </is>
      </c>
    </row>
    <row r="14" ht="22" customHeight="1">
      <c r="A14" s="3" t="inlineStr">
        <is>
          <t>Engagement rate medio</t>
        </is>
      </c>
      <c r="B14" s="4" t="inlineStr">
        <is>
          <t>12.2%</t>
        </is>
      </c>
      <c r="C14" s="5" t="inlineStr">
        <is>
          <t>—</t>
        </is>
      </c>
      <c r="D14" s="5" t="inlineStr">
        <is>
          <t>—</t>
        </is>
      </c>
      <c r="E14" s="6" t="inlineStr">
        <is>
          <t>Calculado sobre alcance</t>
        </is>
      </c>
    </row>
    <row r="15" ht="22" customHeight="1">
      <c r="A15" s="7" t="inlineStr">
        <is>
          <t>Save rate medio</t>
        </is>
      </c>
      <c r="B15" s="12" t="inlineStr">
        <is>
          <t>0.94%</t>
        </is>
      </c>
      <c r="C15" s="9" t="inlineStr">
        <is>
          <t>—</t>
        </is>
      </c>
      <c r="D15" s="9" t="inlineStr">
        <is>
          <t>—</t>
        </is>
      </c>
      <c r="E15" s="10" t="inlineStr">
        <is>
          <t>Guardados / alcance — señal de valor</t>
        </is>
      </c>
    </row>
    <row r="16" ht="22" customHeight="1">
      <c r="A16" s="3" t="inlineStr">
        <is>
          <t>Share rate medio</t>
        </is>
      </c>
      <c r="B16" s="4" t="inlineStr">
        <is>
          <t>1.26%</t>
        </is>
      </c>
      <c r="C16" s="5" t="inlineStr">
        <is>
          <t>—</t>
        </is>
      </c>
      <c r="D16" s="5" t="inlineStr">
        <is>
          <t>—</t>
        </is>
      </c>
      <c r="E16" s="6" t="inlineStr">
        <is>
          <t>Compartidos / vistas</t>
        </is>
      </c>
    </row>
    <row r="18" ht="24" customHeight="1">
      <c r="A18" s="13" t="inlineStr">
        <is>
          <t>🏆 TOP 5 REELS POR VISTAS</t>
        </is>
      </c>
    </row>
    <row r="19">
      <c r="A19" s="2" t="inlineStr">
        <is>
          <t>#</t>
        </is>
      </c>
      <c r="B19" s="2" t="inlineStr">
        <is>
          <t>Descripción</t>
        </is>
      </c>
      <c r="C19" s="2" t="inlineStr">
        <is>
          <t>Vistas</t>
        </is>
      </c>
      <c r="D19" s="2" t="inlineStr">
        <is>
          <t>Engagement %</t>
        </is>
      </c>
      <c r="E19" s="2" t="inlineStr">
        <is>
          <t>Guardados</t>
        </is>
      </c>
    </row>
    <row r="20" ht="20" customHeight="1">
      <c r="A20" s="14" t="n">
        <v>1</v>
      </c>
      <c r="B20" s="15" t="inlineStr">
        <is>
          <t>explicame 🐍 #programador #python #techhumor</t>
        </is>
      </c>
      <c r="C20" s="16" t="n">
        <v>2649307</v>
      </c>
      <c r="D20" s="14" t="inlineStr">
        <is>
          <t>16.1%</t>
        </is>
      </c>
      <c r="E20" s="14" t="n">
        <v>12934</v>
      </c>
    </row>
    <row r="21" ht="20" customHeight="1">
      <c r="A21" s="17" t="n">
        <v>2</v>
      </c>
      <c r="B21" s="18" t="inlineStr">
        <is>
          <t>alguien me ayuda?? @nvidiageforcees 😭
#techhu</t>
        </is>
      </c>
      <c r="C21" s="19" t="n">
        <v>1474479</v>
      </c>
      <c r="D21" s="17" t="inlineStr">
        <is>
          <t>17.8%</t>
        </is>
      </c>
      <c r="E21" s="17" t="n">
        <v>3292</v>
      </c>
    </row>
    <row r="22" ht="20" customHeight="1">
      <c r="A22" s="14" t="n">
        <v>3</v>
      </c>
      <c r="B22" s="15" t="inlineStr">
        <is>
          <t>lo siento profe 
#programacion #techhumor #in</t>
        </is>
      </c>
      <c r="C22" s="16" t="n">
        <v>740676</v>
      </c>
      <c r="D22" s="14" t="inlineStr">
        <is>
          <t>17.5%</t>
        </is>
      </c>
      <c r="E22" s="14" t="n">
        <v>3961</v>
      </c>
    </row>
    <row r="23" ht="20" customHeight="1">
      <c r="A23" s="17" t="n">
        <v>4</v>
      </c>
      <c r="B23" s="18" t="inlineStr">
        <is>
          <t>muy necesario el README
#techhumor #programac</t>
        </is>
      </c>
      <c r="C23" s="19" t="n">
        <v>318061</v>
      </c>
      <c r="D23" s="17" t="inlineStr">
        <is>
          <t>15.5%</t>
        </is>
      </c>
      <c r="E23" s="17" t="n">
        <v>2194</v>
      </c>
    </row>
    <row r="24" ht="20" customHeight="1">
      <c r="A24" s="14" t="n">
        <v>5</v>
      </c>
      <c r="B24" s="15" t="inlineStr">
        <is>
          <t>Excel -ente SELECT 
#Sql #sqldeveloper #techu</t>
        </is>
      </c>
      <c r="C24" s="16" t="n">
        <v>203332</v>
      </c>
      <c r="D24" s="14" t="inlineStr">
        <is>
          <t>11.3%</t>
        </is>
      </c>
      <c r="E24" s="14" t="n">
        <v>683</v>
      </c>
    </row>
  </sheetData>
  <mergeCells count="2"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9" customWidth="1" min="5" max="5"/>
    <col width="12" customWidth="1" min="6" max="6"/>
    <col width="12" customWidth="1" min="7" max="7"/>
    <col width="10" customWidth="1" min="8" max="8"/>
    <col width="9" customWidth="1" min="9" max="9"/>
    <col width="10" customWidth="1" min="10" max="10"/>
    <col width="12" customWidth="1" min="11" max="11"/>
    <col width="9" customWidth="1" min="12" max="12"/>
    <col width="8" customWidth="1" min="13" max="13"/>
    <col width="9" customWidth="1" min="14" max="14"/>
    <col width="9" customWidth="1" min="15" max="15"/>
    <col width="40" customWidth="1" min="16" max="16"/>
  </cols>
  <sheetData>
    <row r="1" ht="30" customHeight="1">
      <c r="A1" s="1" t="inlineStr">
        <is>
          <t>🎬 Reels — Datos Brutos (24 Feb – 23 Mar 2026)</t>
        </is>
      </c>
    </row>
    <row r="2" ht="30" customHeight="1">
      <c r="A2" s="2" t="inlineStr">
        <is>
          <t>#</t>
        </is>
      </c>
      <c r="B2" s="2" t="inlineStr">
        <is>
          <t>Fecha</t>
        </is>
      </c>
      <c r="C2" s="2" t="inlineStr">
        <is>
          <t>Franja</t>
        </is>
      </c>
      <c r="D2" s="2" t="inlineStr">
        <is>
          <t>Tema</t>
        </is>
      </c>
      <c r="E2" s="2" t="inlineStr">
        <is>
          <t>Duración
(s)</t>
        </is>
      </c>
      <c r="F2" s="2" t="inlineStr">
        <is>
          <t>Vistas</t>
        </is>
      </c>
      <c r="G2" s="2" t="inlineStr">
        <is>
          <t>Alcance</t>
        </is>
      </c>
      <c r="H2" s="2" t="inlineStr">
        <is>
          <t>Likes</t>
        </is>
      </c>
      <c r="I2" s="2" t="inlineStr">
        <is>
          <t>Coments</t>
        </is>
      </c>
      <c r="J2" s="2" t="inlineStr">
        <is>
          <t>Guardados</t>
        </is>
      </c>
      <c r="K2" s="2" t="inlineStr">
        <is>
          <t>Compartidos</t>
        </is>
      </c>
      <c r="L2" s="2" t="inlineStr">
        <is>
          <t>Seg.
Ganados</t>
        </is>
      </c>
      <c r="M2" s="2" t="inlineStr">
        <is>
          <t>ER %</t>
        </is>
      </c>
      <c r="N2" s="2" t="inlineStr">
        <is>
          <t>Save
Rate %</t>
        </is>
      </c>
      <c r="O2" s="2" t="inlineStr">
        <is>
          <t>Share
Rate %</t>
        </is>
      </c>
      <c r="P2" s="2" t="inlineStr">
        <is>
          <t>Descripción</t>
        </is>
      </c>
    </row>
    <row r="3" ht="18" customHeight="1">
      <c r="A3" s="17" t="n">
        <v>1</v>
      </c>
      <c r="B3" s="18" t="inlineStr">
        <is>
          <t>2026-03-14</t>
        </is>
      </c>
      <c r="C3" s="18" t="inlineStr">
        <is>
          <t>Mañana (6-12h)</t>
        </is>
      </c>
      <c r="D3" s="18" t="inlineStr">
        <is>
          <t>Python</t>
        </is>
      </c>
      <c r="E3" s="17" t="n">
        <v>6</v>
      </c>
      <c r="F3" s="19" t="n">
        <v>2649307</v>
      </c>
      <c r="G3" s="19" t="n">
        <v>1270432</v>
      </c>
      <c r="H3" s="19" t="n">
        <v>83075</v>
      </c>
      <c r="I3" s="19" t="n">
        <v>800</v>
      </c>
      <c r="J3" s="19" t="n">
        <v>12934</v>
      </c>
      <c r="K3" s="19" t="n">
        <v>108272</v>
      </c>
      <c r="L3" s="19" t="n">
        <v>1962</v>
      </c>
      <c r="M3" s="20" t="n">
        <v>16.14</v>
      </c>
      <c r="N3" s="20" t="n">
        <v>1.02</v>
      </c>
      <c r="O3" s="20" t="n">
        <v>4.09</v>
      </c>
      <c r="P3" s="18" t="inlineStr">
        <is>
          <t>explicame 🐍 #programador #python #techhumor</t>
        </is>
      </c>
    </row>
    <row r="4" ht="18" customHeight="1">
      <c r="A4" s="14" t="n">
        <v>2</v>
      </c>
      <c r="B4" s="15" t="inlineStr">
        <is>
          <t>2026-03-16</t>
        </is>
      </c>
      <c r="C4" s="15" t="inlineStr">
        <is>
          <t>Mañana (6-12h)</t>
        </is>
      </c>
      <c r="D4" s="15" t="inlineStr">
        <is>
          <t>Tech humor</t>
        </is>
      </c>
      <c r="E4" s="14" t="n">
        <v>7</v>
      </c>
      <c r="F4" s="16" t="n">
        <v>1474479</v>
      </c>
      <c r="G4" s="16" t="n">
        <v>728868</v>
      </c>
      <c r="H4" s="16" t="n">
        <v>115258</v>
      </c>
      <c r="I4" s="16" t="n">
        <v>916</v>
      </c>
      <c r="J4" s="16" t="n">
        <v>3292</v>
      </c>
      <c r="K4" s="16" t="n">
        <v>10575</v>
      </c>
      <c r="L4" s="16" t="n">
        <v>262</v>
      </c>
      <c r="M4" s="21" t="n">
        <v>17.84</v>
      </c>
      <c r="N4" s="21" t="n">
        <v>0.45</v>
      </c>
      <c r="O4" s="21" t="n">
        <v>0.72</v>
      </c>
      <c r="P4" s="15" t="inlineStr">
        <is>
          <t>alguien me ayuda?? @nvidiageforcees 😭
#techhumor #geforce #i</t>
        </is>
      </c>
    </row>
    <row r="5" ht="18" customHeight="1">
      <c r="A5" s="17" t="n">
        <v>3</v>
      </c>
      <c r="B5" s="18" t="inlineStr">
        <is>
          <t>2026-02-27</t>
        </is>
      </c>
      <c r="C5" s="18" t="inlineStr">
        <is>
          <t>Mañana (6-12h)</t>
        </is>
      </c>
      <c r="D5" s="18" t="inlineStr">
        <is>
          <t>Tech humor</t>
        </is>
      </c>
      <c r="E5" s="17" t="n">
        <v>11</v>
      </c>
      <c r="F5" s="19" t="n">
        <v>740676</v>
      </c>
      <c r="G5" s="19" t="n">
        <v>543713</v>
      </c>
      <c r="H5" s="19" t="n">
        <v>66629</v>
      </c>
      <c r="I5" s="19" t="n">
        <v>293</v>
      </c>
      <c r="J5" s="19" t="n">
        <v>3961</v>
      </c>
      <c r="K5" s="19" t="n">
        <v>24285</v>
      </c>
      <c r="L5" s="19" t="n">
        <v>673</v>
      </c>
      <c r="M5" s="20" t="n">
        <v>17.5</v>
      </c>
      <c r="N5" s="20" t="n">
        <v>0.73</v>
      </c>
      <c r="O5" s="20" t="n">
        <v>3.28</v>
      </c>
      <c r="P5" s="18" t="inlineStr">
        <is>
          <t>lo siento profe 
#programacion #techhumor #informatica</t>
        </is>
      </c>
    </row>
    <row r="6" ht="18" customHeight="1">
      <c r="A6" s="14" t="n">
        <v>4</v>
      </c>
      <c r="B6" s="15" t="inlineStr">
        <is>
          <t>2026-03-19</t>
        </is>
      </c>
      <c r="C6" s="15" t="inlineStr">
        <is>
          <t>Mañana (6-12h)</t>
        </is>
      </c>
      <c r="D6" s="15" t="inlineStr">
        <is>
          <t>Buenas prácticas</t>
        </is>
      </c>
      <c r="E6" s="14" t="n">
        <v>15</v>
      </c>
      <c r="F6" s="16" t="n">
        <v>318061</v>
      </c>
      <c r="G6" s="16" t="n">
        <v>211323</v>
      </c>
      <c r="H6" s="16" t="n">
        <v>24292</v>
      </c>
      <c r="I6" s="16" t="n">
        <v>235</v>
      </c>
      <c r="J6" s="16" t="n">
        <v>2194</v>
      </c>
      <c r="K6" s="16" t="n">
        <v>6073</v>
      </c>
      <c r="L6" s="16" t="n">
        <v>904</v>
      </c>
      <c r="M6" s="21" t="n">
        <v>15.52</v>
      </c>
      <c r="N6" s="21" t="n">
        <v>1.04</v>
      </c>
      <c r="O6" s="21" t="n">
        <v>1.91</v>
      </c>
      <c r="P6" s="15" t="inlineStr">
        <is>
          <t>muy necesario el README
#techhumor #programacion #informatic</t>
        </is>
      </c>
    </row>
    <row r="7" ht="18" customHeight="1">
      <c r="A7" s="17" t="n">
        <v>5</v>
      </c>
      <c r="B7" s="18" t="inlineStr">
        <is>
          <t>2026-03-11</t>
        </is>
      </c>
      <c r="C7" s="18" t="inlineStr">
        <is>
          <t>Tarde (12-18h)</t>
        </is>
      </c>
      <c r="D7" s="18" t="inlineStr">
        <is>
          <t>SQL</t>
        </is>
      </c>
      <c r="E7" s="17" t="n">
        <v>4</v>
      </c>
      <c r="F7" s="19" t="n">
        <v>203332</v>
      </c>
      <c r="G7" s="19" t="n">
        <v>81860</v>
      </c>
      <c r="H7" s="19" t="n">
        <v>3029</v>
      </c>
      <c r="I7" s="19" t="n">
        <v>43</v>
      </c>
      <c r="J7" s="19" t="n">
        <v>683</v>
      </c>
      <c r="K7" s="19" t="n">
        <v>5485</v>
      </c>
      <c r="L7" s="19" t="n">
        <v>165</v>
      </c>
      <c r="M7" s="20" t="n">
        <v>11.29</v>
      </c>
      <c r="N7" s="20" t="n">
        <v>0.83</v>
      </c>
      <c r="O7" s="20" t="n">
        <v>2.7</v>
      </c>
      <c r="P7" s="18" t="inlineStr">
        <is>
          <t>Excel -ente SELECT 
#Sql #sqldeveloper #techumor</t>
        </is>
      </c>
    </row>
    <row r="8" ht="18" customHeight="1">
      <c r="A8" s="14" t="n">
        <v>6</v>
      </c>
      <c r="B8" s="15" t="inlineStr">
        <is>
          <t>2026-03-22</t>
        </is>
      </c>
      <c r="C8" s="15" t="inlineStr">
        <is>
          <t>Mañana (6-12h)</t>
        </is>
      </c>
      <c r="D8" s="15" t="inlineStr">
        <is>
          <t>SQL</t>
        </is>
      </c>
      <c r="E8" s="14" t="n">
        <v>6</v>
      </c>
      <c r="F8" s="16" t="n">
        <v>190982</v>
      </c>
      <c r="G8" s="16" t="n">
        <v>90965</v>
      </c>
      <c r="H8" s="16" t="n">
        <v>5423</v>
      </c>
      <c r="I8" s="16" t="n">
        <v>109</v>
      </c>
      <c r="J8" s="16" t="n">
        <v>979</v>
      </c>
      <c r="K8" s="16" t="n">
        <v>4478</v>
      </c>
      <c r="L8" s="16" t="n">
        <v>596</v>
      </c>
      <c r="M8" s="21" t="n">
        <v>12.08</v>
      </c>
      <c r="N8" s="21" t="n">
        <v>1.08</v>
      </c>
      <c r="O8" s="21" t="n">
        <v>2.34</v>
      </c>
      <c r="P8" s="15" t="inlineStr">
        <is>
          <t>tú sabes??
#sql #techhumor #programacion #informatica</t>
        </is>
      </c>
    </row>
    <row r="9" ht="18" customHeight="1">
      <c r="A9" s="17" t="n">
        <v>7</v>
      </c>
      <c r="B9" s="18" t="inlineStr">
        <is>
          <t>2026-03-03</t>
        </is>
      </c>
      <c r="C9" s="18" t="inlineStr">
        <is>
          <t>Mañana (6-12h)</t>
        </is>
      </c>
      <c r="D9" s="18" t="inlineStr">
        <is>
          <t>Programación general</t>
        </is>
      </c>
      <c r="E9" s="17" t="n">
        <v>9</v>
      </c>
      <c r="F9" s="19" t="n">
        <v>160221</v>
      </c>
      <c r="G9" s="19" t="n">
        <v>104205</v>
      </c>
      <c r="H9" s="19" t="n">
        <v>11192</v>
      </c>
      <c r="I9" s="19" t="n">
        <v>43</v>
      </c>
      <c r="J9" s="19" t="n">
        <v>823</v>
      </c>
      <c r="K9" s="19" t="n">
        <v>1969</v>
      </c>
      <c r="L9" s="19" t="n">
        <v>234</v>
      </c>
      <c r="M9" s="20" t="n">
        <v>13.46</v>
      </c>
      <c r="N9" s="20" t="n">
        <v>0.79</v>
      </c>
      <c r="O9" s="20" t="n">
        <v>1.23</v>
      </c>
      <c r="P9" s="18" t="inlineStr">
        <is>
          <t>preparadisimo para el mundo laboral #leetcode #informatica #</t>
        </is>
      </c>
    </row>
    <row r="10" ht="18" customHeight="1">
      <c r="A10" s="14" t="n">
        <v>8</v>
      </c>
      <c r="B10" s="15" t="inlineStr">
        <is>
          <t>2026-03-17</t>
        </is>
      </c>
      <c r="C10" s="15" t="inlineStr">
        <is>
          <t>Mañana (6-12h)</t>
        </is>
      </c>
      <c r="D10" s="15" t="inlineStr">
        <is>
          <t>Tech humor</t>
        </is>
      </c>
      <c r="E10" s="14" t="n">
        <v>8</v>
      </c>
      <c r="F10" s="16" t="n">
        <v>155578</v>
      </c>
      <c r="G10" s="16" t="n">
        <v>92069</v>
      </c>
      <c r="H10" s="16" t="n">
        <v>8690</v>
      </c>
      <c r="I10" s="16" t="n">
        <v>97</v>
      </c>
      <c r="J10" s="16" t="n">
        <v>1627</v>
      </c>
      <c r="K10" s="16" t="n">
        <v>1803</v>
      </c>
      <c r="L10" s="16" t="n">
        <v>253</v>
      </c>
      <c r="M10" s="21" t="n">
        <v>13.27</v>
      </c>
      <c r="N10" s="21" t="n">
        <v>1.77</v>
      </c>
      <c r="O10" s="21" t="n">
        <v>1.16</v>
      </c>
      <c r="P10" s="15" t="inlineStr">
        <is>
          <t>lo q mas duele en una ruptura 
#programacion #informatica #t</t>
        </is>
      </c>
    </row>
    <row r="11" ht="18" customHeight="1">
      <c r="A11" s="17" t="n">
        <v>9</v>
      </c>
      <c r="B11" s="18" t="inlineStr">
        <is>
          <t>2026-03-05</t>
        </is>
      </c>
      <c r="C11" s="18" t="inlineStr">
        <is>
          <t>Mañana (6-12h)</t>
        </is>
      </c>
      <c r="D11" s="18" t="inlineStr">
        <is>
          <t>Terminal/Bash</t>
        </is>
      </c>
      <c r="E11" s="17" t="n">
        <v>6</v>
      </c>
      <c r="F11" s="19" t="n">
        <v>146936</v>
      </c>
      <c r="G11" s="19" t="n">
        <v>85804</v>
      </c>
      <c r="H11" s="19" t="n">
        <v>10750</v>
      </c>
      <c r="I11" s="19" t="n">
        <v>72</v>
      </c>
      <c r="J11" s="19" t="n">
        <v>1200</v>
      </c>
      <c r="K11" s="19" t="n">
        <v>1344</v>
      </c>
      <c r="L11" s="19" t="n">
        <v>281</v>
      </c>
      <c r="M11" s="20" t="n">
        <v>15.58</v>
      </c>
      <c r="N11" s="20" t="n">
        <v>1.4</v>
      </c>
      <c r="O11" s="20" t="n">
        <v>0.91</v>
      </c>
      <c r="P11" s="18" t="inlineStr">
        <is>
          <t>una &lt;div&gt;a mi terminal #womenintech 
#techgirl #programacion</t>
        </is>
      </c>
    </row>
    <row r="12" ht="18" customHeight="1">
      <c r="A12" s="14" t="n">
        <v>10</v>
      </c>
      <c r="B12" s="15" t="inlineStr">
        <is>
          <t>2026-03-09</t>
        </is>
      </c>
      <c r="C12" s="15" t="inlineStr">
        <is>
          <t>Mañana (6-12h)</t>
        </is>
      </c>
      <c r="D12" s="15" t="inlineStr">
        <is>
          <t>Tech humor</t>
        </is>
      </c>
      <c r="E12" s="14" t="n">
        <v>8</v>
      </c>
      <c r="F12" s="16" t="n">
        <v>132205</v>
      </c>
      <c r="G12" s="16" t="n">
        <v>85940</v>
      </c>
      <c r="H12" s="16" t="n">
        <v>9160</v>
      </c>
      <c r="I12" s="16" t="n">
        <v>79</v>
      </c>
      <c r="J12" s="16" t="n">
        <v>1378</v>
      </c>
      <c r="K12" s="16" t="n">
        <v>1101</v>
      </c>
      <c r="L12" s="16" t="n">
        <v>107</v>
      </c>
      <c r="M12" s="21" t="n">
        <v>13.64</v>
      </c>
      <c r="N12" s="21" t="n">
        <v>1.6</v>
      </c>
      <c r="O12" s="21" t="n">
        <v>0.83</v>
      </c>
      <c r="P12" s="15" t="inlineStr">
        <is>
          <t>no era mi tipo #techhumor #programacion #informatica</t>
        </is>
      </c>
    </row>
    <row r="13" ht="18" customHeight="1">
      <c r="A13" s="17" t="n">
        <v>11</v>
      </c>
      <c r="B13" s="18" t="inlineStr">
        <is>
          <t>2026-03-14</t>
        </is>
      </c>
      <c r="C13" s="18" t="inlineStr">
        <is>
          <t>Mañana (6-12h)</t>
        </is>
      </c>
      <c r="D13" s="18" t="inlineStr">
        <is>
          <t>Tech humor</t>
        </is>
      </c>
      <c r="E13" s="17" t="n">
        <v>8</v>
      </c>
      <c r="F13" s="19" t="n">
        <v>131524</v>
      </c>
      <c r="G13" s="19" t="n">
        <v>92780</v>
      </c>
      <c r="H13" s="19" t="n">
        <v>9640</v>
      </c>
      <c r="I13" s="19" t="n">
        <v>93</v>
      </c>
      <c r="J13" s="19" t="n">
        <v>1455</v>
      </c>
      <c r="K13" s="19" t="n">
        <v>1582</v>
      </c>
      <c r="L13" s="19" t="n">
        <v>285</v>
      </c>
      <c r="M13" s="20" t="n">
        <v>13.76</v>
      </c>
      <c r="N13" s="20" t="n">
        <v>1.57</v>
      </c>
      <c r="O13" s="20" t="n">
        <v>1.2</v>
      </c>
      <c r="P13" s="18" t="inlineStr">
        <is>
          <t>no hagas force push
#programacion #developer #informatica</t>
        </is>
      </c>
    </row>
    <row r="14" ht="18" customHeight="1">
      <c r="A14" s="14" t="n">
        <v>12</v>
      </c>
      <c r="B14" s="15" t="inlineStr">
        <is>
          <t>2026-03-22</t>
        </is>
      </c>
      <c r="C14" s="15" t="inlineStr">
        <is>
          <t>Mañana (6-12h)</t>
        </is>
      </c>
      <c r="D14" s="15" t="inlineStr">
        <is>
          <t>Tech humor</t>
        </is>
      </c>
      <c r="E14" s="14" t="n">
        <v>6</v>
      </c>
      <c r="F14" s="16" t="n">
        <v>126979</v>
      </c>
      <c r="G14" s="16" t="n">
        <v>86068</v>
      </c>
      <c r="H14" s="16" t="n">
        <v>10416</v>
      </c>
      <c r="I14" s="16" t="n">
        <v>17</v>
      </c>
      <c r="J14" s="16" t="n">
        <v>424</v>
      </c>
      <c r="K14" s="16" t="n">
        <v>1559</v>
      </c>
      <c r="L14" s="16" t="n">
        <v>24</v>
      </c>
      <c r="M14" s="21" t="n">
        <v>14.43</v>
      </c>
      <c r="N14" s="21" t="n">
        <v>0.49</v>
      </c>
      <c r="O14" s="21" t="n">
        <v>1.23</v>
      </c>
      <c r="P14" s="15" t="inlineStr">
        <is>
          <t>no te confundas mi ciela
#techhumor #informatica #programaci</t>
        </is>
      </c>
    </row>
    <row r="15" ht="18" customHeight="1">
      <c r="A15" s="17" t="n">
        <v>13</v>
      </c>
      <c r="B15" s="18" t="inlineStr">
        <is>
          <t>2026-03-20</t>
        </is>
      </c>
      <c r="C15" s="18" t="inlineStr">
        <is>
          <t>Mañana (6-12h)</t>
        </is>
      </c>
      <c r="D15" s="18" t="inlineStr">
        <is>
          <t>Tech humor</t>
        </is>
      </c>
      <c r="E15" s="17" t="n">
        <v>6</v>
      </c>
      <c r="F15" s="19" t="n">
        <v>95327</v>
      </c>
      <c r="G15" s="19" t="n">
        <v>54850</v>
      </c>
      <c r="H15" s="19" t="n">
        <v>8900</v>
      </c>
      <c r="I15" s="19" t="n">
        <v>9</v>
      </c>
      <c r="J15" s="19" t="n">
        <v>499</v>
      </c>
      <c r="K15" s="19" t="n">
        <v>474</v>
      </c>
      <c r="L15" s="19" t="n">
        <v>50</v>
      </c>
      <c r="M15" s="20" t="n">
        <v>18.02</v>
      </c>
      <c r="N15" s="20" t="n">
        <v>0.91</v>
      </c>
      <c r="O15" s="20" t="n">
        <v>0.5</v>
      </c>
      <c r="P15" s="18" t="inlineStr">
        <is>
          <t>la espaldaaaa 
#techhumor #programacion #informatica</t>
        </is>
      </c>
    </row>
    <row r="16" ht="18" customHeight="1">
      <c r="A16" s="14" t="n">
        <v>14</v>
      </c>
      <c r="B16" s="15" t="inlineStr">
        <is>
          <t>2026-03-11</t>
        </is>
      </c>
      <c r="C16" s="15" t="inlineStr">
        <is>
          <t>Mañana (6-12h)</t>
        </is>
      </c>
      <c r="D16" s="15" t="inlineStr">
        <is>
          <t>Tech humor</t>
        </is>
      </c>
      <c r="E16" s="14" t="n">
        <v>6</v>
      </c>
      <c r="F16" s="16" t="n">
        <v>92904</v>
      </c>
      <c r="G16" s="16" t="n">
        <v>62076</v>
      </c>
      <c r="H16" s="16" t="n">
        <v>7699</v>
      </c>
      <c r="I16" s="16" t="n">
        <v>19</v>
      </c>
      <c r="J16" s="16" t="n">
        <v>396</v>
      </c>
      <c r="K16" s="16" t="n">
        <v>842</v>
      </c>
      <c r="L16" s="16" t="n">
        <v>74</v>
      </c>
      <c r="M16" s="21" t="n">
        <v>14.43</v>
      </c>
      <c r="N16" s="21" t="n">
        <v>0.64</v>
      </c>
      <c r="O16" s="21" t="n">
        <v>0.91</v>
      </c>
      <c r="P16" s="15" t="inlineStr">
        <is>
          <t>lo más difícil #programacion #informatica #techhumor</t>
        </is>
      </c>
    </row>
    <row r="17" ht="18" customHeight="1">
      <c r="A17" s="17" t="n">
        <v>15</v>
      </c>
      <c r="B17" s="18" t="inlineStr">
        <is>
          <t>2026-03-17</t>
        </is>
      </c>
      <c r="C17" s="18" t="inlineStr">
        <is>
          <t>Mañana (6-12h)</t>
        </is>
      </c>
      <c r="D17" s="18" t="inlineStr">
        <is>
          <t>Tech humor</t>
        </is>
      </c>
      <c r="E17" s="17" t="n">
        <v>9</v>
      </c>
      <c r="F17" s="19" t="n">
        <v>90617</v>
      </c>
      <c r="G17" s="19" t="n">
        <v>51790</v>
      </c>
      <c r="H17" s="19" t="n">
        <v>7158</v>
      </c>
      <c r="I17" s="19" t="n">
        <v>124</v>
      </c>
      <c r="J17" s="19" t="n">
        <v>536</v>
      </c>
      <c r="K17" s="19" t="n">
        <v>1431</v>
      </c>
      <c r="L17" s="19" t="n">
        <v>213</v>
      </c>
      <c r="M17" s="20" t="n">
        <v>17.86</v>
      </c>
      <c r="N17" s="20" t="n">
        <v>1.03</v>
      </c>
      <c r="O17" s="20" t="n">
        <v>1.58</v>
      </c>
      <c r="P17" s="18" t="inlineStr">
        <is>
          <t>php siempre funciona 💤 gracias @mouredev #techhumor #program</t>
        </is>
      </c>
    </row>
    <row r="18" ht="18" customHeight="1">
      <c r="A18" s="14" t="n">
        <v>16</v>
      </c>
      <c r="B18" s="15" t="inlineStr">
        <is>
          <t>2026-03-23</t>
        </is>
      </c>
      <c r="C18" s="15" t="inlineStr">
        <is>
          <t>Mañana (6-12h)</t>
        </is>
      </c>
      <c r="D18" s="15" t="inlineStr">
        <is>
          <t>Tech humor</t>
        </is>
      </c>
      <c r="E18" s="14" t="n">
        <v>5</v>
      </c>
      <c r="F18" s="16" t="n">
        <v>86889</v>
      </c>
      <c r="G18" s="16" t="n">
        <v>48195</v>
      </c>
      <c r="H18" s="16" t="n">
        <v>6646</v>
      </c>
      <c r="I18" s="16" t="n">
        <v>23</v>
      </c>
      <c r="J18" s="16" t="n">
        <v>561</v>
      </c>
      <c r="K18" s="16" t="n">
        <v>1176</v>
      </c>
      <c r="L18" s="16" t="n">
        <v>67</v>
      </c>
      <c r="M18" s="21" t="n">
        <v>17.44</v>
      </c>
      <c r="N18" s="21" t="n">
        <v>1.16</v>
      </c>
      <c r="O18" s="21" t="n">
        <v>1.35</v>
      </c>
      <c r="P18" s="15" t="inlineStr">
        <is>
          <t>evento canónico 
#informatica #techhumor #programacion #prog</t>
        </is>
      </c>
    </row>
    <row r="19" ht="18" customHeight="1">
      <c r="A19" s="17" t="n">
        <v>17</v>
      </c>
      <c r="B19" s="18" t="inlineStr">
        <is>
          <t>2026-03-23</t>
        </is>
      </c>
      <c r="C19" s="18" t="inlineStr">
        <is>
          <t>Mañana (6-12h)</t>
        </is>
      </c>
      <c r="D19" s="18" t="inlineStr">
        <is>
          <t>Tech humor</t>
        </is>
      </c>
      <c r="E19" s="17" t="n">
        <v>10</v>
      </c>
      <c r="F19" s="19" t="n">
        <v>70979</v>
      </c>
      <c r="G19" s="19" t="n">
        <v>42521</v>
      </c>
      <c r="H19" s="19" t="n">
        <v>2706</v>
      </c>
      <c r="I19" s="19" t="n">
        <v>33</v>
      </c>
      <c r="J19" s="19" t="n">
        <v>533</v>
      </c>
      <c r="K19" s="19" t="n">
        <v>937</v>
      </c>
      <c r="L19" s="19" t="n">
        <v>188</v>
      </c>
      <c r="M19" s="20" t="n">
        <v>9.9</v>
      </c>
      <c r="N19" s="20" t="n">
        <v>1.25</v>
      </c>
      <c r="O19" s="20" t="n">
        <v>1.32</v>
      </c>
      <c r="P19" s="18" t="inlineStr">
        <is>
          <t>mándaselo, con cariño 💌
#techhumor #programacion #informatic</t>
        </is>
      </c>
    </row>
    <row r="20" ht="18" customHeight="1">
      <c r="A20" s="14" t="n">
        <v>18</v>
      </c>
      <c r="B20" s="15" t="inlineStr">
        <is>
          <t>2026-03-13</t>
        </is>
      </c>
      <c r="C20" s="15" t="inlineStr">
        <is>
          <t>Mañana (6-12h)</t>
        </is>
      </c>
      <c r="D20" s="15" t="inlineStr">
        <is>
          <t>Tech humor</t>
        </is>
      </c>
      <c r="E20" s="14" t="n">
        <v>11</v>
      </c>
      <c r="F20" s="16" t="n">
        <v>54859</v>
      </c>
      <c r="G20" s="16" t="n">
        <v>32163</v>
      </c>
      <c r="H20" s="16" t="n">
        <v>1971</v>
      </c>
      <c r="I20" s="16" t="n">
        <v>21</v>
      </c>
      <c r="J20" s="16" t="n">
        <v>196</v>
      </c>
      <c r="K20" s="16" t="n">
        <v>192</v>
      </c>
      <c r="L20" s="16" t="n">
        <v>204</v>
      </c>
      <c r="M20" s="21" t="n">
        <v>7.4</v>
      </c>
      <c r="N20" s="21" t="n">
        <v>0.61</v>
      </c>
      <c r="O20" s="21" t="n">
        <v>0.35</v>
      </c>
      <c r="P20" s="15" t="inlineStr">
        <is>
          <t>besote si entendiste 🚩
#github #programacion #techhumor #inf</t>
        </is>
      </c>
    </row>
    <row r="21" ht="18" customHeight="1">
      <c r="A21" s="17" t="n">
        <v>19</v>
      </c>
      <c r="B21" s="18" t="inlineStr">
        <is>
          <t>2026-03-18</t>
        </is>
      </c>
      <c r="C21" s="18" t="inlineStr">
        <is>
          <t>Mañana (6-12h)</t>
        </is>
      </c>
      <c r="D21" s="18" t="inlineStr">
        <is>
          <t>Tech humor</t>
        </is>
      </c>
      <c r="E21" s="17" t="n">
        <v>9</v>
      </c>
      <c r="F21" s="19" t="n">
        <v>54811</v>
      </c>
      <c r="G21" s="19" t="n">
        <v>33741</v>
      </c>
      <c r="H21" s="19" t="n">
        <v>2979</v>
      </c>
      <c r="I21" s="19" t="n">
        <v>77</v>
      </c>
      <c r="J21" s="19" t="n">
        <v>496</v>
      </c>
      <c r="K21" s="19" t="n">
        <v>1059</v>
      </c>
      <c r="L21" s="19" t="n">
        <v>312</v>
      </c>
      <c r="M21" s="20" t="n">
        <v>13.67</v>
      </c>
      <c r="N21" s="20" t="n">
        <v>1.47</v>
      </c>
      <c r="O21" s="20" t="n">
        <v>1.93</v>
      </c>
      <c r="P21" s="18" t="inlineStr">
        <is>
          <t>dedícaselo a tu https ✉️
#techhumor #programacion #informati</t>
        </is>
      </c>
    </row>
    <row r="22" ht="18" customHeight="1">
      <c r="A22" s="14" t="n">
        <v>20</v>
      </c>
      <c r="B22" s="15" t="inlineStr">
        <is>
          <t>2026-03-07</t>
        </is>
      </c>
      <c r="C22" s="15" t="inlineStr">
        <is>
          <t>Tarde (12-18h)</t>
        </is>
      </c>
      <c r="D22" s="15" t="inlineStr">
        <is>
          <t>Terminal/Bash</t>
        </is>
      </c>
      <c r="E22" s="14" t="n">
        <v>22</v>
      </c>
      <c r="F22" s="16" t="n">
        <v>45453</v>
      </c>
      <c r="G22" s="16" t="n">
        <v>32219</v>
      </c>
      <c r="H22" s="16" t="n">
        <v>1973</v>
      </c>
      <c r="I22" s="16" t="n">
        <v>26</v>
      </c>
      <c r="J22" s="16" t="n">
        <v>906</v>
      </c>
      <c r="K22" s="16" t="n">
        <v>516</v>
      </c>
      <c r="L22" s="16" t="n">
        <v>224</v>
      </c>
      <c r="M22" s="21" t="n">
        <v>10.62</v>
      </c>
      <c r="N22" s="21" t="n">
        <v>2.81</v>
      </c>
      <c r="O22" s="21" t="n">
        <v>1.14</v>
      </c>
      <c r="P22" s="15" t="inlineStr">
        <is>
          <t>tutorial de terminal rosita 💅🏻 #womenintech #informatica #te</t>
        </is>
      </c>
    </row>
    <row r="23" ht="18" customHeight="1">
      <c r="A23" s="17" t="n">
        <v>21</v>
      </c>
      <c r="B23" s="18" t="inlineStr">
        <is>
          <t>2026-03-20</t>
        </is>
      </c>
      <c r="C23" s="18" t="inlineStr">
        <is>
          <t>Mañana (6-12h)</t>
        </is>
      </c>
      <c r="D23" s="18" t="inlineStr">
        <is>
          <t>Tech humor</t>
        </is>
      </c>
      <c r="E23" s="17" t="n">
        <v>18</v>
      </c>
      <c r="F23" s="19" t="n">
        <v>40968</v>
      </c>
      <c r="G23" s="19" t="n">
        <v>28107</v>
      </c>
      <c r="H23" s="19" t="n">
        <v>2890</v>
      </c>
      <c r="I23" s="19" t="n">
        <v>94</v>
      </c>
      <c r="J23" s="19" t="n">
        <v>446</v>
      </c>
      <c r="K23" s="19" t="n">
        <v>781</v>
      </c>
      <c r="L23" s="19" t="n">
        <v>299</v>
      </c>
      <c r="M23" s="20" t="n">
        <v>14.98</v>
      </c>
      <c r="N23" s="20" t="n">
        <v>1.59</v>
      </c>
      <c r="O23" s="20" t="n">
        <v>1.91</v>
      </c>
      <c r="P23" s="18" t="inlineStr">
        <is>
          <t>recursión emocional // aropoemas
#poemastech #techhumor #pro</t>
        </is>
      </c>
    </row>
    <row r="24" ht="18" customHeight="1">
      <c r="A24" s="14" t="n">
        <v>22</v>
      </c>
      <c r="B24" s="15" t="inlineStr">
        <is>
          <t>2026-03-15</t>
        </is>
      </c>
      <c r="C24" s="15" t="inlineStr">
        <is>
          <t>Mañana (6-12h)</t>
        </is>
      </c>
      <c r="D24" s="15" t="inlineStr">
        <is>
          <t>Tech humor</t>
        </is>
      </c>
      <c r="E24" s="14" t="n">
        <v>5</v>
      </c>
      <c r="F24" s="16" t="n">
        <v>36406</v>
      </c>
      <c r="G24" s="16" t="n">
        <v>19644</v>
      </c>
      <c r="H24" s="16" t="n">
        <v>913</v>
      </c>
      <c r="I24" s="16" t="n">
        <v>15</v>
      </c>
      <c r="J24" s="16" t="n">
        <v>85</v>
      </c>
      <c r="K24" s="16" t="n">
        <v>173</v>
      </c>
      <c r="L24" s="16" t="n">
        <v>53</v>
      </c>
      <c r="M24" s="21" t="n">
        <v>6.04</v>
      </c>
      <c r="N24" s="21" t="n">
        <v>0.43</v>
      </c>
      <c r="O24" s="21" t="n">
        <v>0.48</v>
      </c>
      <c r="P24" s="15" t="inlineStr">
        <is>
          <t>y yo no era ni la [3]
 #programacion #techhumor #informatica</t>
        </is>
      </c>
    </row>
    <row r="25" ht="18" customHeight="1">
      <c r="A25" s="17" t="n">
        <v>23</v>
      </c>
      <c r="B25" s="18" t="inlineStr">
        <is>
          <t>2026-03-18</t>
        </is>
      </c>
      <c r="C25" s="18" t="inlineStr">
        <is>
          <t>Mañana (6-12h)</t>
        </is>
      </c>
      <c r="D25" s="18" t="inlineStr">
        <is>
          <t>Tech humor</t>
        </is>
      </c>
      <c r="E25" s="17" t="n">
        <v>8</v>
      </c>
      <c r="F25" s="19" t="n">
        <v>34372</v>
      </c>
      <c r="G25" s="19" t="n">
        <v>23969</v>
      </c>
      <c r="H25" s="19" t="n">
        <v>2101</v>
      </c>
      <c r="I25" s="19" t="n">
        <v>31</v>
      </c>
      <c r="J25" s="19" t="n">
        <v>111</v>
      </c>
      <c r="K25" s="19" t="n">
        <v>229</v>
      </c>
      <c r="L25" s="19" t="n">
        <v>53</v>
      </c>
      <c r="M25" s="20" t="n">
        <v>10.31</v>
      </c>
      <c r="N25" s="20" t="n">
        <v>0.46</v>
      </c>
      <c r="O25" s="20" t="n">
        <v>0.67</v>
      </c>
      <c r="P25" s="18" t="inlineStr">
        <is>
          <t>gracias por el cumplido 
#ram #techhumor #informatica</t>
        </is>
      </c>
    </row>
    <row r="26" ht="18" customHeight="1">
      <c r="A26" s="14" t="n">
        <v>24</v>
      </c>
      <c r="B26" s="15" t="inlineStr">
        <is>
          <t>2026-03-01</t>
        </is>
      </c>
      <c r="C26" s="15" t="inlineStr">
        <is>
          <t>Mañana (6-12h)</t>
        </is>
      </c>
      <c r="D26" s="15" t="inlineStr">
        <is>
          <t>Tech humor</t>
        </is>
      </c>
      <c r="E26" s="14" t="n">
        <v>6</v>
      </c>
      <c r="F26" s="16" t="n">
        <v>29834</v>
      </c>
      <c r="G26" s="16" t="n">
        <v>21210</v>
      </c>
      <c r="H26" s="16" t="n">
        <v>1743</v>
      </c>
      <c r="I26" s="16" t="n">
        <v>7</v>
      </c>
      <c r="J26" s="16" t="n">
        <v>108</v>
      </c>
      <c r="K26" s="16" t="n">
        <v>295</v>
      </c>
      <c r="L26" s="16" t="n">
        <v>18</v>
      </c>
      <c r="M26" s="21" t="n">
        <v>10.15</v>
      </c>
      <c r="N26" s="21" t="n">
        <v>0.51</v>
      </c>
      <c r="O26" s="21" t="n">
        <v>0.99</v>
      </c>
      <c r="P26" s="15" t="inlineStr">
        <is>
          <t>y tú lo sabes?
#programacion #informatica #techhumor</t>
        </is>
      </c>
    </row>
    <row r="27" ht="18" customHeight="1">
      <c r="A27" s="17" t="n">
        <v>25</v>
      </c>
      <c r="B27" s="18" t="inlineStr">
        <is>
          <t>2026-02-28</t>
        </is>
      </c>
      <c r="C27" s="18" t="inlineStr">
        <is>
          <t>Mañana (6-12h)</t>
        </is>
      </c>
      <c r="D27" s="18" t="inlineStr">
        <is>
          <t>Humor personal</t>
        </is>
      </c>
      <c r="E27" s="17" t="n">
        <v>7</v>
      </c>
      <c r="F27" s="19" t="n">
        <v>29606</v>
      </c>
      <c r="G27" s="19" t="n">
        <v>17377</v>
      </c>
      <c r="H27" s="19" t="n">
        <v>361</v>
      </c>
      <c r="I27" s="19" t="n">
        <v>10</v>
      </c>
      <c r="J27" s="19" t="n">
        <v>53</v>
      </c>
      <c r="K27" s="19" t="n">
        <v>33</v>
      </c>
      <c r="L27" s="19" t="n">
        <v>28</v>
      </c>
      <c r="M27" s="20" t="n">
        <v>2.63</v>
      </c>
      <c r="N27" s="20" t="n">
        <v>0.31</v>
      </c>
      <c r="O27" s="20" t="n">
        <v>0.11</v>
      </c>
      <c r="P27" s="18" t="inlineStr">
        <is>
          <t>te amo mi chico informático 
#programador #parejatech #infor</t>
        </is>
      </c>
    </row>
    <row r="28" ht="18" customHeight="1">
      <c r="A28" s="14" t="n">
        <v>26</v>
      </c>
      <c r="B28" s="15" t="inlineStr">
        <is>
          <t>2026-03-21</t>
        </is>
      </c>
      <c r="C28" s="15" t="inlineStr">
        <is>
          <t>Mañana (6-12h)</t>
        </is>
      </c>
      <c r="D28" s="15" t="inlineStr">
        <is>
          <t>Tech humor</t>
        </is>
      </c>
      <c r="E28" s="14" t="n">
        <v>10</v>
      </c>
      <c r="F28" s="16" t="n">
        <v>27993</v>
      </c>
      <c r="G28" s="16" t="n">
        <v>14831</v>
      </c>
      <c r="H28" s="16" t="n">
        <v>872</v>
      </c>
      <c r="I28" s="16" t="n">
        <v>21</v>
      </c>
      <c r="J28" s="16" t="n">
        <v>47</v>
      </c>
      <c r="K28" s="16" t="n">
        <v>130</v>
      </c>
      <c r="L28" s="16" t="n">
        <v>41</v>
      </c>
      <c r="M28" s="21" t="n">
        <v>7.21</v>
      </c>
      <c r="N28" s="21" t="n">
        <v>0.32</v>
      </c>
      <c r="O28" s="21" t="n">
        <v>0.46</v>
      </c>
      <c r="P28" s="15" t="inlineStr">
        <is>
          <t>mucho nvidioso por ahí 😡@pccomponentes chequen eso 🫶🏼
#techh</t>
        </is>
      </c>
    </row>
    <row r="29" ht="18" customHeight="1">
      <c r="A29" s="17" t="n">
        <v>27</v>
      </c>
      <c r="B29" s="18" t="inlineStr">
        <is>
          <t>2026-03-19</t>
        </is>
      </c>
      <c r="C29" s="18" t="inlineStr">
        <is>
          <t>Mañana (6-12h)</t>
        </is>
      </c>
      <c r="D29" s="18" t="inlineStr">
        <is>
          <t>Tech humor</t>
        </is>
      </c>
      <c r="E29" s="17" t="n">
        <v>8</v>
      </c>
      <c r="F29" s="19" t="n">
        <v>25943</v>
      </c>
      <c r="G29" s="19" t="n">
        <v>15925</v>
      </c>
      <c r="H29" s="19" t="n">
        <v>1151</v>
      </c>
      <c r="I29" s="19" t="n">
        <v>16</v>
      </c>
      <c r="J29" s="19" t="n">
        <v>127</v>
      </c>
      <c r="K29" s="19" t="n">
        <v>142</v>
      </c>
      <c r="L29" s="19" t="n">
        <v>71</v>
      </c>
      <c r="M29" s="20" t="n">
        <v>9.02</v>
      </c>
      <c r="N29" s="20" t="n">
        <v>0.8</v>
      </c>
      <c r="O29" s="20" t="n">
        <v>0.55</v>
      </c>
      <c r="P29" s="18" t="inlineStr">
        <is>
          <t>promesas Null
#developer #techhumor #programacion #informat</t>
        </is>
      </c>
    </row>
    <row r="30" ht="18" customHeight="1">
      <c r="A30" s="14" t="n">
        <v>28</v>
      </c>
      <c r="B30" s="15" t="inlineStr">
        <is>
          <t>2026-03-21</t>
        </is>
      </c>
      <c r="C30" s="15" t="inlineStr">
        <is>
          <t>Mañana (6-12h)</t>
        </is>
      </c>
      <c r="D30" s="15" t="inlineStr">
        <is>
          <t>Tech humor</t>
        </is>
      </c>
      <c r="E30" s="14" t="n">
        <v>5</v>
      </c>
      <c r="F30" s="16" t="n">
        <v>14994</v>
      </c>
      <c r="G30" s="16" t="n">
        <v>9590</v>
      </c>
      <c r="H30" s="16" t="n">
        <v>686</v>
      </c>
      <c r="I30" s="16" t="n">
        <v>12</v>
      </c>
      <c r="J30" s="16" t="n">
        <v>36</v>
      </c>
      <c r="K30" s="16" t="n">
        <v>89</v>
      </c>
      <c r="L30" s="16" t="n">
        <v>22</v>
      </c>
      <c r="M30" s="21" t="n">
        <v>8.58</v>
      </c>
      <c r="N30" s="21" t="n">
        <v>0.38</v>
      </c>
      <c r="O30" s="21" t="n">
        <v>0.59</v>
      </c>
      <c r="P30" s="15" t="inlineStr">
        <is>
          <t>RIP 🪦 Stack Overflow 
#stackoverflow #informatica #techhumor</t>
        </is>
      </c>
    </row>
    <row r="31" ht="18" customHeight="1">
      <c r="A31" s="17" t="n">
        <v>29</v>
      </c>
      <c r="B31" s="18" t="inlineStr">
        <is>
          <t>2026-03-21</t>
        </is>
      </c>
      <c r="C31" s="18" t="inlineStr">
        <is>
          <t>Madrugada (0-6h)</t>
        </is>
      </c>
      <c r="D31" s="18" t="inlineStr">
        <is>
          <t>Tech humor</t>
        </is>
      </c>
      <c r="E31" s="17" t="n">
        <v>8</v>
      </c>
      <c r="F31" s="19" t="n">
        <v>5266</v>
      </c>
      <c r="G31" s="19" t="n">
        <v>3611</v>
      </c>
      <c r="H31" s="19" t="n">
        <v>165</v>
      </c>
      <c r="I31" s="19" t="n">
        <v>2</v>
      </c>
      <c r="J31" s="19" t="n">
        <v>14</v>
      </c>
      <c r="K31" s="19" t="n">
        <v>17</v>
      </c>
      <c r="L31" s="19" t="n">
        <v>17</v>
      </c>
      <c r="M31" s="20" t="n">
        <v>5.48</v>
      </c>
      <c r="N31" s="20" t="n">
        <v>0.39</v>
      </c>
      <c r="O31" s="20" t="n">
        <v>0.32</v>
      </c>
      <c r="P31" s="18" t="inlineStr">
        <is>
          <t>besote si entendiste la referencia 😗
@canva ayuda 
#porfolio</t>
        </is>
      </c>
    </row>
    <row r="32" ht="18" customHeight="1">
      <c r="A32" s="14" t="n">
        <v>30</v>
      </c>
      <c r="B32" s="15" t="inlineStr">
        <is>
          <t>2026-02-27</t>
        </is>
      </c>
      <c r="C32" s="15" t="inlineStr">
        <is>
          <t>Mañana (6-12h)</t>
        </is>
      </c>
      <c r="D32" s="15" t="inlineStr">
        <is>
          <t>Tech humor</t>
        </is>
      </c>
      <c r="E32" s="14" t="n">
        <v>11</v>
      </c>
      <c r="F32" s="16" t="n">
        <v>1851</v>
      </c>
      <c r="G32" s="16" t="n">
        <v>1599</v>
      </c>
      <c r="H32" s="16" t="n">
        <v>94</v>
      </c>
      <c r="I32" s="16" t="n">
        <v>1</v>
      </c>
      <c r="J32" s="16" t="n">
        <v>6</v>
      </c>
      <c r="K32" s="16" t="n">
        <v>20</v>
      </c>
      <c r="L32" s="16" t="n">
        <v>2</v>
      </c>
      <c r="M32" s="21" t="n">
        <v>7.57</v>
      </c>
      <c r="N32" s="21" t="n">
        <v>0.38</v>
      </c>
      <c r="O32" s="21" t="n">
        <v>1.08</v>
      </c>
      <c r="P32" s="15" t="inlineStr">
        <is>
          <t>lo siento profe
#programacion #techhumor #informatica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3" customWidth="1" min="12" max="12"/>
  </cols>
  <sheetData>
    <row r="1" ht="35" customHeight="1">
      <c r="A1" s="1" t="inlineStr">
        <is>
          <t>📐 Calculadora de Engagement — Fórmulas Automáticas (base: alcance)</t>
        </is>
      </c>
    </row>
    <row r="2" ht="32" customHeight="1">
      <c r="A2" s="2" t="inlineStr">
        <is>
          <t>#</t>
        </is>
      </c>
      <c r="B2" s="2" t="inlineStr">
        <is>
          <t>Descripción</t>
        </is>
      </c>
      <c r="C2" s="2" t="inlineStr">
        <is>
          <t>Alcance</t>
        </is>
      </c>
      <c r="D2" s="2" t="inlineStr">
        <is>
          <t>Likes</t>
        </is>
      </c>
      <c r="E2" s="2" t="inlineStr">
        <is>
          <t>Coments</t>
        </is>
      </c>
      <c r="F2" s="2" t="inlineStr">
        <is>
          <t>Guardados</t>
        </is>
      </c>
      <c r="G2" s="2" t="inlineStr">
        <is>
          <t>Compartidos</t>
        </is>
      </c>
      <c r="H2" s="2" t="inlineStr">
        <is>
          <t>Engagement
Rate %</t>
        </is>
      </c>
      <c r="I2" s="2" t="inlineStr">
        <is>
          <t>Like
Rate %</t>
        </is>
      </c>
      <c r="J2" s="2" t="inlineStr">
        <is>
          <t>Save
Rate %</t>
        </is>
      </c>
      <c r="K2" s="2" t="inlineStr">
        <is>
          <t>Share
Rate %</t>
        </is>
      </c>
      <c r="L2" s="2" t="inlineStr">
        <is>
          <t>Follower
Conv %</t>
        </is>
      </c>
    </row>
    <row r="3" ht="18" customHeight="1">
      <c r="A3" s="17" t="n">
        <v>1</v>
      </c>
      <c r="B3" s="18" t="inlineStr">
        <is>
          <t>explicame 🐍 #programador #python #techhu</t>
        </is>
      </c>
      <c r="C3" s="19" t="n">
        <v>1270432</v>
      </c>
      <c r="D3" s="19" t="n">
        <v>83075</v>
      </c>
      <c r="E3" s="19" t="n">
        <v>800</v>
      </c>
      <c r="F3" s="19" t="n">
        <v>12934</v>
      </c>
      <c r="G3" s="19" t="n">
        <v>108272</v>
      </c>
      <c r="H3" s="22">
        <f>IF(C3=0,0,(D3+E3+F3+G3)/C3*100)</f>
        <v/>
      </c>
      <c r="I3" s="20">
        <f>IF(C3=0,0,D3/C3*100)</f>
        <v/>
      </c>
      <c r="J3" s="22">
        <f>IF(C3=0,0,F3/C3*100)</f>
        <v/>
      </c>
      <c r="K3" s="20">
        <f>IF(C3=0,0,G3/C3*100)</f>
        <v/>
      </c>
      <c r="L3" s="20">
        <f>IF(C3=0,0,1962/C3*100)</f>
        <v/>
      </c>
    </row>
    <row r="4" ht="18" customHeight="1">
      <c r="A4" s="14" t="n">
        <v>2</v>
      </c>
      <c r="B4" s="15" t="inlineStr">
        <is>
          <t>alguien me ayuda?? @nvidiageforcees 😭
#t</t>
        </is>
      </c>
      <c r="C4" s="16" t="n">
        <v>728868</v>
      </c>
      <c r="D4" s="16" t="n">
        <v>115258</v>
      </c>
      <c r="E4" s="16" t="n">
        <v>916</v>
      </c>
      <c r="F4" s="16" t="n">
        <v>3292</v>
      </c>
      <c r="G4" s="16" t="n">
        <v>10575</v>
      </c>
      <c r="H4" s="22">
        <f>IF(C4=0,0,(D4+E4+F4+G4)/C4*100)</f>
        <v/>
      </c>
      <c r="I4" s="21">
        <f>IF(C4=0,0,D4/C4*100)</f>
        <v/>
      </c>
      <c r="J4" s="22">
        <f>IF(C4=0,0,F4/C4*100)</f>
        <v/>
      </c>
      <c r="K4" s="21">
        <f>IF(C4=0,0,G4/C4*100)</f>
        <v/>
      </c>
      <c r="L4" s="21">
        <f>IF(C4=0,0,262/C4*100)</f>
        <v/>
      </c>
    </row>
    <row r="5" ht="18" customHeight="1">
      <c r="A5" s="17" t="n">
        <v>3</v>
      </c>
      <c r="B5" s="18" t="inlineStr">
        <is>
          <t>lo siento profe 
#programacion #techhumo</t>
        </is>
      </c>
      <c r="C5" s="19" t="n">
        <v>543713</v>
      </c>
      <c r="D5" s="19" t="n">
        <v>66629</v>
      </c>
      <c r="E5" s="19" t="n">
        <v>293</v>
      </c>
      <c r="F5" s="19" t="n">
        <v>3961</v>
      </c>
      <c r="G5" s="19" t="n">
        <v>24285</v>
      </c>
      <c r="H5" s="22">
        <f>IF(C5=0,0,(D5+E5+F5+G5)/C5*100)</f>
        <v/>
      </c>
      <c r="I5" s="20">
        <f>IF(C5=0,0,D5/C5*100)</f>
        <v/>
      </c>
      <c r="J5" s="22">
        <f>IF(C5=0,0,F5/C5*100)</f>
        <v/>
      </c>
      <c r="K5" s="20">
        <f>IF(C5=0,0,G5/C5*100)</f>
        <v/>
      </c>
      <c r="L5" s="20">
        <f>IF(C5=0,0,673/C5*100)</f>
        <v/>
      </c>
    </row>
    <row r="6" ht="18" customHeight="1">
      <c r="A6" s="14" t="n">
        <v>4</v>
      </c>
      <c r="B6" s="15" t="inlineStr">
        <is>
          <t>muy necesario el README
#techhumor #prog</t>
        </is>
      </c>
      <c r="C6" s="16" t="n">
        <v>211323</v>
      </c>
      <c r="D6" s="16" t="n">
        <v>24292</v>
      </c>
      <c r="E6" s="16" t="n">
        <v>235</v>
      </c>
      <c r="F6" s="16" t="n">
        <v>2194</v>
      </c>
      <c r="G6" s="16" t="n">
        <v>6073</v>
      </c>
      <c r="H6" s="22">
        <f>IF(C6=0,0,(D6+E6+F6+G6)/C6*100)</f>
        <v/>
      </c>
      <c r="I6" s="21">
        <f>IF(C6=0,0,D6/C6*100)</f>
        <v/>
      </c>
      <c r="J6" s="22">
        <f>IF(C6=0,0,F6/C6*100)</f>
        <v/>
      </c>
      <c r="K6" s="21">
        <f>IF(C6=0,0,G6/C6*100)</f>
        <v/>
      </c>
      <c r="L6" s="21">
        <f>IF(C6=0,0,904/C6*100)</f>
        <v/>
      </c>
    </row>
    <row r="7" ht="18" customHeight="1">
      <c r="A7" s="17" t="n">
        <v>5</v>
      </c>
      <c r="B7" s="18" t="inlineStr">
        <is>
          <t>Excel -ente SELECT 
#Sql #sqldeveloper #</t>
        </is>
      </c>
      <c r="C7" s="19" t="n">
        <v>81860</v>
      </c>
      <c r="D7" s="19" t="n">
        <v>3029</v>
      </c>
      <c r="E7" s="19" t="n">
        <v>43</v>
      </c>
      <c r="F7" s="19" t="n">
        <v>683</v>
      </c>
      <c r="G7" s="19" t="n">
        <v>5485</v>
      </c>
      <c r="H7" s="22">
        <f>IF(C7=0,0,(D7+E7+F7+G7)/C7*100)</f>
        <v/>
      </c>
      <c r="I7" s="20">
        <f>IF(C7=0,0,D7/C7*100)</f>
        <v/>
      </c>
      <c r="J7" s="22">
        <f>IF(C7=0,0,F7/C7*100)</f>
        <v/>
      </c>
      <c r="K7" s="20">
        <f>IF(C7=0,0,G7/C7*100)</f>
        <v/>
      </c>
      <c r="L7" s="20">
        <f>IF(C7=0,0,165/C7*100)</f>
        <v/>
      </c>
    </row>
    <row r="8" ht="18" customHeight="1">
      <c r="A8" s="14" t="n">
        <v>6</v>
      </c>
      <c r="B8" s="15" t="inlineStr">
        <is>
          <t>tú sabes??
#sql #techhumor #programacion</t>
        </is>
      </c>
      <c r="C8" s="16" t="n">
        <v>90965</v>
      </c>
      <c r="D8" s="16" t="n">
        <v>5423</v>
      </c>
      <c r="E8" s="16" t="n">
        <v>109</v>
      </c>
      <c r="F8" s="16" t="n">
        <v>979</v>
      </c>
      <c r="G8" s="16" t="n">
        <v>4478</v>
      </c>
      <c r="H8" s="22">
        <f>IF(C8=0,0,(D8+E8+F8+G8)/C8*100)</f>
        <v/>
      </c>
      <c r="I8" s="21">
        <f>IF(C8=0,0,D8/C8*100)</f>
        <v/>
      </c>
      <c r="J8" s="22">
        <f>IF(C8=0,0,F8/C8*100)</f>
        <v/>
      </c>
      <c r="K8" s="21">
        <f>IF(C8=0,0,G8/C8*100)</f>
        <v/>
      </c>
      <c r="L8" s="21">
        <f>IF(C8=0,0,596/C8*100)</f>
        <v/>
      </c>
    </row>
    <row r="9" ht="18" customHeight="1">
      <c r="A9" s="17" t="n">
        <v>7</v>
      </c>
      <c r="B9" s="18" t="inlineStr">
        <is>
          <t>preparadisimo para el mundo laboral #lee</t>
        </is>
      </c>
      <c r="C9" s="19" t="n">
        <v>104205</v>
      </c>
      <c r="D9" s="19" t="n">
        <v>11192</v>
      </c>
      <c r="E9" s="19" t="n">
        <v>43</v>
      </c>
      <c r="F9" s="19" t="n">
        <v>823</v>
      </c>
      <c r="G9" s="19" t="n">
        <v>1969</v>
      </c>
      <c r="H9" s="22">
        <f>IF(C9=0,0,(D9+E9+F9+G9)/C9*100)</f>
        <v/>
      </c>
      <c r="I9" s="20">
        <f>IF(C9=0,0,D9/C9*100)</f>
        <v/>
      </c>
      <c r="J9" s="22">
        <f>IF(C9=0,0,F9/C9*100)</f>
        <v/>
      </c>
      <c r="K9" s="20">
        <f>IF(C9=0,0,G9/C9*100)</f>
        <v/>
      </c>
      <c r="L9" s="20">
        <f>IF(C9=0,0,234/C9*100)</f>
        <v/>
      </c>
    </row>
    <row r="10" ht="18" customHeight="1">
      <c r="A10" s="14" t="n">
        <v>8</v>
      </c>
      <c r="B10" s="15" t="inlineStr">
        <is>
          <t>lo q mas duele en una ruptura 
#programa</t>
        </is>
      </c>
      <c r="C10" s="16" t="n">
        <v>92069</v>
      </c>
      <c r="D10" s="16" t="n">
        <v>8690</v>
      </c>
      <c r="E10" s="16" t="n">
        <v>97</v>
      </c>
      <c r="F10" s="16" t="n">
        <v>1627</v>
      </c>
      <c r="G10" s="16" t="n">
        <v>1803</v>
      </c>
      <c r="H10" s="22">
        <f>IF(C10=0,0,(D10+E10+F10+G10)/C10*100)</f>
        <v/>
      </c>
      <c r="I10" s="21">
        <f>IF(C10=0,0,D10/C10*100)</f>
        <v/>
      </c>
      <c r="J10" s="22">
        <f>IF(C10=0,0,F10/C10*100)</f>
        <v/>
      </c>
      <c r="K10" s="21">
        <f>IF(C10=0,0,G10/C10*100)</f>
        <v/>
      </c>
      <c r="L10" s="21">
        <f>IF(C10=0,0,253/C10*100)</f>
        <v/>
      </c>
    </row>
    <row r="11" ht="18" customHeight="1">
      <c r="A11" s="17" t="n">
        <v>9</v>
      </c>
      <c r="B11" s="18" t="inlineStr">
        <is>
          <t>una &lt;div&gt;a mi terminal #womenintech 
#te</t>
        </is>
      </c>
      <c r="C11" s="19" t="n">
        <v>85804</v>
      </c>
      <c r="D11" s="19" t="n">
        <v>10750</v>
      </c>
      <c r="E11" s="19" t="n">
        <v>72</v>
      </c>
      <c r="F11" s="19" t="n">
        <v>1200</v>
      </c>
      <c r="G11" s="19" t="n">
        <v>1344</v>
      </c>
      <c r="H11" s="22">
        <f>IF(C11=0,0,(D11+E11+F11+G11)/C11*100)</f>
        <v/>
      </c>
      <c r="I11" s="20">
        <f>IF(C11=0,0,D11/C11*100)</f>
        <v/>
      </c>
      <c r="J11" s="22">
        <f>IF(C11=0,0,F11/C11*100)</f>
        <v/>
      </c>
      <c r="K11" s="20">
        <f>IF(C11=0,0,G11/C11*100)</f>
        <v/>
      </c>
      <c r="L11" s="20">
        <f>IF(C11=0,0,281/C11*100)</f>
        <v/>
      </c>
    </row>
    <row r="12" ht="18" customHeight="1">
      <c r="A12" s="14" t="n">
        <v>10</v>
      </c>
      <c r="B12" s="15" t="inlineStr">
        <is>
          <t xml:space="preserve">no era mi tipo #techhumor #programacion </t>
        </is>
      </c>
      <c r="C12" s="16" t="n">
        <v>85940</v>
      </c>
      <c r="D12" s="16" t="n">
        <v>9160</v>
      </c>
      <c r="E12" s="16" t="n">
        <v>79</v>
      </c>
      <c r="F12" s="16" t="n">
        <v>1378</v>
      </c>
      <c r="G12" s="16" t="n">
        <v>1101</v>
      </c>
      <c r="H12" s="22">
        <f>IF(C12=0,0,(D12+E12+F12+G12)/C12*100)</f>
        <v/>
      </c>
      <c r="I12" s="21">
        <f>IF(C12=0,0,D12/C12*100)</f>
        <v/>
      </c>
      <c r="J12" s="22">
        <f>IF(C12=0,0,F12/C12*100)</f>
        <v/>
      </c>
      <c r="K12" s="21">
        <f>IF(C12=0,0,G12/C12*100)</f>
        <v/>
      </c>
      <c r="L12" s="21">
        <f>IF(C12=0,0,107/C12*100)</f>
        <v/>
      </c>
    </row>
    <row r="13" ht="18" customHeight="1">
      <c r="A13" s="17" t="n">
        <v>11</v>
      </c>
      <c r="B13" s="18" t="inlineStr">
        <is>
          <t>no hagas force push
#programacion #devel</t>
        </is>
      </c>
      <c r="C13" s="19" t="n">
        <v>92780</v>
      </c>
      <c r="D13" s="19" t="n">
        <v>9640</v>
      </c>
      <c r="E13" s="19" t="n">
        <v>93</v>
      </c>
      <c r="F13" s="19" t="n">
        <v>1455</v>
      </c>
      <c r="G13" s="19" t="n">
        <v>1582</v>
      </c>
      <c r="H13" s="22">
        <f>IF(C13=0,0,(D13+E13+F13+G13)/C13*100)</f>
        <v/>
      </c>
      <c r="I13" s="20">
        <f>IF(C13=0,0,D13/C13*100)</f>
        <v/>
      </c>
      <c r="J13" s="22">
        <f>IF(C13=0,0,F13/C13*100)</f>
        <v/>
      </c>
      <c r="K13" s="20">
        <f>IF(C13=0,0,G13/C13*100)</f>
        <v/>
      </c>
      <c r="L13" s="20">
        <f>IF(C13=0,0,285/C13*100)</f>
        <v/>
      </c>
    </row>
    <row r="14" ht="18" customHeight="1">
      <c r="A14" s="14" t="n">
        <v>12</v>
      </c>
      <c r="B14" s="15" t="inlineStr">
        <is>
          <t>no te confundas mi ciela
#techhumor #inf</t>
        </is>
      </c>
      <c r="C14" s="16" t="n">
        <v>86068</v>
      </c>
      <c r="D14" s="16" t="n">
        <v>10416</v>
      </c>
      <c r="E14" s="16" t="n">
        <v>17</v>
      </c>
      <c r="F14" s="16" t="n">
        <v>424</v>
      </c>
      <c r="G14" s="16" t="n">
        <v>1559</v>
      </c>
      <c r="H14" s="22">
        <f>IF(C14=0,0,(D14+E14+F14+G14)/C14*100)</f>
        <v/>
      </c>
      <c r="I14" s="21">
        <f>IF(C14=0,0,D14/C14*100)</f>
        <v/>
      </c>
      <c r="J14" s="22">
        <f>IF(C14=0,0,F14/C14*100)</f>
        <v/>
      </c>
      <c r="K14" s="21">
        <f>IF(C14=0,0,G14/C14*100)</f>
        <v/>
      </c>
      <c r="L14" s="21">
        <f>IF(C14=0,0,24/C14*100)</f>
        <v/>
      </c>
    </row>
    <row r="15" ht="18" customHeight="1">
      <c r="A15" s="17" t="n">
        <v>13</v>
      </c>
      <c r="B15" s="18" t="inlineStr">
        <is>
          <t xml:space="preserve">la espaldaaaa 
#techhumor #programacion </t>
        </is>
      </c>
      <c r="C15" s="19" t="n">
        <v>54850</v>
      </c>
      <c r="D15" s="19" t="n">
        <v>8900</v>
      </c>
      <c r="E15" s="19" t="n">
        <v>9</v>
      </c>
      <c r="F15" s="19" t="n">
        <v>499</v>
      </c>
      <c r="G15" s="19" t="n">
        <v>474</v>
      </c>
      <c r="H15" s="22">
        <f>IF(C15=0,0,(D15+E15+F15+G15)/C15*100)</f>
        <v/>
      </c>
      <c r="I15" s="20">
        <f>IF(C15=0,0,D15/C15*100)</f>
        <v/>
      </c>
      <c r="J15" s="22">
        <f>IF(C15=0,0,F15/C15*100)</f>
        <v/>
      </c>
      <c r="K15" s="20">
        <f>IF(C15=0,0,G15/C15*100)</f>
        <v/>
      </c>
      <c r="L15" s="20">
        <f>IF(C15=0,0,50/C15*100)</f>
        <v/>
      </c>
    </row>
    <row r="16" ht="18" customHeight="1">
      <c r="A16" s="14" t="n">
        <v>14</v>
      </c>
      <c r="B16" s="15" t="inlineStr">
        <is>
          <t>lo más difícil #programacion #informatic</t>
        </is>
      </c>
      <c r="C16" s="16" t="n">
        <v>62076</v>
      </c>
      <c r="D16" s="16" t="n">
        <v>7699</v>
      </c>
      <c r="E16" s="16" t="n">
        <v>19</v>
      </c>
      <c r="F16" s="16" t="n">
        <v>396</v>
      </c>
      <c r="G16" s="16" t="n">
        <v>842</v>
      </c>
      <c r="H16" s="22">
        <f>IF(C16=0,0,(D16+E16+F16+G16)/C16*100)</f>
        <v/>
      </c>
      <c r="I16" s="21">
        <f>IF(C16=0,0,D16/C16*100)</f>
        <v/>
      </c>
      <c r="J16" s="22">
        <f>IF(C16=0,0,F16/C16*100)</f>
        <v/>
      </c>
      <c r="K16" s="21">
        <f>IF(C16=0,0,G16/C16*100)</f>
        <v/>
      </c>
      <c r="L16" s="21">
        <f>IF(C16=0,0,74/C16*100)</f>
        <v/>
      </c>
    </row>
    <row r="17" ht="18" customHeight="1">
      <c r="A17" s="17" t="n">
        <v>15</v>
      </c>
      <c r="B17" s="18" t="inlineStr">
        <is>
          <t>php siempre funciona 💤 gracias @mouredev</t>
        </is>
      </c>
      <c r="C17" s="19" t="n">
        <v>51790</v>
      </c>
      <c r="D17" s="19" t="n">
        <v>7158</v>
      </c>
      <c r="E17" s="19" t="n">
        <v>124</v>
      </c>
      <c r="F17" s="19" t="n">
        <v>536</v>
      </c>
      <c r="G17" s="19" t="n">
        <v>1431</v>
      </c>
      <c r="H17" s="22">
        <f>IF(C17=0,0,(D17+E17+F17+G17)/C17*100)</f>
        <v/>
      </c>
      <c r="I17" s="20">
        <f>IF(C17=0,0,D17/C17*100)</f>
        <v/>
      </c>
      <c r="J17" s="22">
        <f>IF(C17=0,0,F17/C17*100)</f>
        <v/>
      </c>
      <c r="K17" s="20">
        <f>IF(C17=0,0,G17/C17*100)</f>
        <v/>
      </c>
      <c r="L17" s="20">
        <f>IF(C17=0,0,213/C17*100)</f>
        <v/>
      </c>
    </row>
    <row r="18" ht="18" customHeight="1">
      <c r="A18" s="14" t="n">
        <v>16</v>
      </c>
      <c r="B18" s="15" t="inlineStr">
        <is>
          <t>evento canónico 
#informatica #techhumor</t>
        </is>
      </c>
      <c r="C18" s="16" t="n">
        <v>48195</v>
      </c>
      <c r="D18" s="16" t="n">
        <v>6646</v>
      </c>
      <c r="E18" s="16" t="n">
        <v>23</v>
      </c>
      <c r="F18" s="16" t="n">
        <v>561</v>
      </c>
      <c r="G18" s="16" t="n">
        <v>1176</v>
      </c>
      <c r="H18" s="22">
        <f>IF(C18=0,0,(D18+E18+F18+G18)/C18*100)</f>
        <v/>
      </c>
      <c r="I18" s="21">
        <f>IF(C18=0,0,D18/C18*100)</f>
        <v/>
      </c>
      <c r="J18" s="22">
        <f>IF(C18=0,0,F18/C18*100)</f>
        <v/>
      </c>
      <c r="K18" s="21">
        <f>IF(C18=0,0,G18/C18*100)</f>
        <v/>
      </c>
      <c r="L18" s="21">
        <f>IF(C18=0,0,67/C18*100)</f>
        <v/>
      </c>
    </row>
    <row r="19" ht="18" customHeight="1">
      <c r="A19" s="17" t="n">
        <v>17</v>
      </c>
      <c r="B19" s="18" t="inlineStr">
        <is>
          <t>mándaselo, con cariño 💌
#techhumor #prog</t>
        </is>
      </c>
      <c r="C19" s="19" t="n">
        <v>42521</v>
      </c>
      <c r="D19" s="19" t="n">
        <v>2706</v>
      </c>
      <c r="E19" s="19" t="n">
        <v>33</v>
      </c>
      <c r="F19" s="19" t="n">
        <v>533</v>
      </c>
      <c r="G19" s="19" t="n">
        <v>937</v>
      </c>
      <c r="H19" s="22">
        <f>IF(C19=0,0,(D19+E19+F19+G19)/C19*100)</f>
        <v/>
      </c>
      <c r="I19" s="20">
        <f>IF(C19=0,0,D19/C19*100)</f>
        <v/>
      </c>
      <c r="J19" s="22">
        <f>IF(C19=0,0,F19/C19*100)</f>
        <v/>
      </c>
      <c r="K19" s="20">
        <f>IF(C19=0,0,G19/C19*100)</f>
        <v/>
      </c>
      <c r="L19" s="20">
        <f>IF(C19=0,0,188/C19*100)</f>
        <v/>
      </c>
    </row>
    <row r="20" ht="18" customHeight="1">
      <c r="A20" s="14" t="n">
        <v>18</v>
      </c>
      <c r="B20" s="15" t="inlineStr">
        <is>
          <t>besote si entendiste 🚩
#github #programa</t>
        </is>
      </c>
      <c r="C20" s="16" t="n">
        <v>32163</v>
      </c>
      <c r="D20" s="16" t="n">
        <v>1971</v>
      </c>
      <c r="E20" s="16" t="n">
        <v>21</v>
      </c>
      <c r="F20" s="16" t="n">
        <v>196</v>
      </c>
      <c r="G20" s="16" t="n">
        <v>192</v>
      </c>
      <c r="H20" s="22">
        <f>IF(C20=0,0,(D20+E20+F20+G20)/C20*100)</f>
        <v/>
      </c>
      <c r="I20" s="21">
        <f>IF(C20=0,0,D20/C20*100)</f>
        <v/>
      </c>
      <c r="J20" s="22">
        <f>IF(C20=0,0,F20/C20*100)</f>
        <v/>
      </c>
      <c r="K20" s="21">
        <f>IF(C20=0,0,G20/C20*100)</f>
        <v/>
      </c>
      <c r="L20" s="21">
        <f>IF(C20=0,0,204/C20*100)</f>
        <v/>
      </c>
    </row>
    <row r="21" ht="18" customHeight="1">
      <c r="A21" s="17" t="n">
        <v>19</v>
      </c>
      <c r="B21" s="18" t="inlineStr">
        <is>
          <t>dedícaselo a tu https ✉️
#techhumor #pro</t>
        </is>
      </c>
      <c r="C21" s="19" t="n">
        <v>33741</v>
      </c>
      <c r="D21" s="19" t="n">
        <v>2979</v>
      </c>
      <c r="E21" s="19" t="n">
        <v>77</v>
      </c>
      <c r="F21" s="19" t="n">
        <v>496</v>
      </c>
      <c r="G21" s="19" t="n">
        <v>1059</v>
      </c>
      <c r="H21" s="22">
        <f>IF(C21=0,0,(D21+E21+F21+G21)/C21*100)</f>
        <v/>
      </c>
      <c r="I21" s="20">
        <f>IF(C21=0,0,D21/C21*100)</f>
        <v/>
      </c>
      <c r="J21" s="22">
        <f>IF(C21=0,0,F21/C21*100)</f>
        <v/>
      </c>
      <c r="K21" s="20">
        <f>IF(C21=0,0,G21/C21*100)</f>
        <v/>
      </c>
      <c r="L21" s="20">
        <f>IF(C21=0,0,312/C21*100)</f>
        <v/>
      </c>
    </row>
    <row r="22" ht="18" customHeight="1">
      <c r="A22" s="14" t="n">
        <v>20</v>
      </c>
      <c r="B22" s="15" t="inlineStr">
        <is>
          <t>tutorial de terminal rosita 💅🏻 #womenint</t>
        </is>
      </c>
      <c r="C22" s="16" t="n">
        <v>32219</v>
      </c>
      <c r="D22" s="16" t="n">
        <v>1973</v>
      </c>
      <c r="E22" s="16" t="n">
        <v>26</v>
      </c>
      <c r="F22" s="16" t="n">
        <v>906</v>
      </c>
      <c r="G22" s="16" t="n">
        <v>516</v>
      </c>
      <c r="H22" s="22">
        <f>IF(C22=0,0,(D22+E22+F22+G22)/C22*100)</f>
        <v/>
      </c>
      <c r="I22" s="21">
        <f>IF(C22=0,0,D22/C22*100)</f>
        <v/>
      </c>
      <c r="J22" s="22">
        <f>IF(C22=0,0,F22/C22*100)</f>
        <v/>
      </c>
      <c r="K22" s="21">
        <f>IF(C22=0,0,G22/C22*100)</f>
        <v/>
      </c>
      <c r="L22" s="21">
        <f>IF(C22=0,0,224/C22*100)</f>
        <v/>
      </c>
    </row>
    <row r="23" ht="18" customHeight="1">
      <c r="A23" s="17" t="n">
        <v>21</v>
      </c>
      <c r="B23" s="18" t="inlineStr">
        <is>
          <t>recursión emocional // aropoemas
#poemas</t>
        </is>
      </c>
      <c r="C23" s="19" t="n">
        <v>28107</v>
      </c>
      <c r="D23" s="19" t="n">
        <v>2890</v>
      </c>
      <c r="E23" s="19" t="n">
        <v>94</v>
      </c>
      <c r="F23" s="19" t="n">
        <v>446</v>
      </c>
      <c r="G23" s="19" t="n">
        <v>781</v>
      </c>
      <c r="H23" s="22">
        <f>IF(C23=0,0,(D23+E23+F23+G23)/C23*100)</f>
        <v/>
      </c>
      <c r="I23" s="20">
        <f>IF(C23=0,0,D23/C23*100)</f>
        <v/>
      </c>
      <c r="J23" s="22">
        <f>IF(C23=0,0,F23/C23*100)</f>
        <v/>
      </c>
      <c r="K23" s="20">
        <f>IF(C23=0,0,G23/C23*100)</f>
        <v/>
      </c>
      <c r="L23" s="20">
        <f>IF(C23=0,0,299/C23*100)</f>
        <v/>
      </c>
    </row>
    <row r="24" ht="18" customHeight="1">
      <c r="A24" s="14" t="n">
        <v>22</v>
      </c>
      <c r="B24" s="15" t="inlineStr">
        <is>
          <t>y yo no era ni la [3]
 #programacion #te</t>
        </is>
      </c>
      <c r="C24" s="16" t="n">
        <v>19644</v>
      </c>
      <c r="D24" s="16" t="n">
        <v>913</v>
      </c>
      <c r="E24" s="16" t="n">
        <v>15</v>
      </c>
      <c r="F24" s="16" t="n">
        <v>85</v>
      </c>
      <c r="G24" s="16" t="n">
        <v>173</v>
      </c>
      <c r="H24" s="22">
        <f>IF(C24=0,0,(D24+E24+F24+G24)/C24*100)</f>
        <v/>
      </c>
      <c r="I24" s="21">
        <f>IF(C24=0,0,D24/C24*100)</f>
        <v/>
      </c>
      <c r="J24" s="22">
        <f>IF(C24=0,0,F24/C24*100)</f>
        <v/>
      </c>
      <c r="K24" s="21">
        <f>IF(C24=0,0,G24/C24*100)</f>
        <v/>
      </c>
      <c r="L24" s="21">
        <f>IF(C24=0,0,53/C24*100)</f>
        <v/>
      </c>
    </row>
    <row r="25" ht="18" customHeight="1">
      <c r="A25" s="17" t="n">
        <v>23</v>
      </c>
      <c r="B25" s="18" t="inlineStr">
        <is>
          <t>gracias por el cumplido 
#ram #techhumor</t>
        </is>
      </c>
      <c r="C25" s="19" t="n">
        <v>23969</v>
      </c>
      <c r="D25" s="19" t="n">
        <v>2101</v>
      </c>
      <c r="E25" s="19" t="n">
        <v>31</v>
      </c>
      <c r="F25" s="19" t="n">
        <v>111</v>
      </c>
      <c r="G25" s="19" t="n">
        <v>229</v>
      </c>
      <c r="H25" s="22">
        <f>IF(C25=0,0,(D25+E25+F25+G25)/C25*100)</f>
        <v/>
      </c>
      <c r="I25" s="20">
        <f>IF(C25=0,0,D25/C25*100)</f>
        <v/>
      </c>
      <c r="J25" s="22">
        <f>IF(C25=0,0,F25/C25*100)</f>
        <v/>
      </c>
      <c r="K25" s="20">
        <f>IF(C25=0,0,G25/C25*100)</f>
        <v/>
      </c>
      <c r="L25" s="20">
        <f>IF(C25=0,0,53/C25*100)</f>
        <v/>
      </c>
    </row>
    <row r="26" ht="18" customHeight="1">
      <c r="A26" s="14" t="n">
        <v>24</v>
      </c>
      <c r="B26" s="15" t="inlineStr">
        <is>
          <t>y tú lo sabes?
#programacion #informatic</t>
        </is>
      </c>
      <c r="C26" s="16" t="n">
        <v>21210</v>
      </c>
      <c r="D26" s="16" t="n">
        <v>1743</v>
      </c>
      <c r="E26" s="16" t="n">
        <v>7</v>
      </c>
      <c r="F26" s="16" t="n">
        <v>108</v>
      </c>
      <c r="G26" s="16" t="n">
        <v>295</v>
      </c>
      <c r="H26" s="22">
        <f>IF(C26=0,0,(D26+E26+F26+G26)/C26*100)</f>
        <v/>
      </c>
      <c r="I26" s="21">
        <f>IF(C26=0,0,D26/C26*100)</f>
        <v/>
      </c>
      <c r="J26" s="22">
        <f>IF(C26=0,0,F26/C26*100)</f>
        <v/>
      </c>
      <c r="K26" s="21">
        <f>IF(C26=0,0,G26/C26*100)</f>
        <v/>
      </c>
      <c r="L26" s="21">
        <f>IF(C26=0,0,18/C26*100)</f>
        <v/>
      </c>
    </row>
    <row r="27" ht="18" customHeight="1">
      <c r="A27" s="17" t="n">
        <v>25</v>
      </c>
      <c r="B27" s="18" t="inlineStr">
        <is>
          <t>te amo mi chico informático 
#programado</t>
        </is>
      </c>
      <c r="C27" s="19" t="n">
        <v>17377</v>
      </c>
      <c r="D27" s="19" t="n">
        <v>361</v>
      </c>
      <c r="E27" s="19" t="n">
        <v>10</v>
      </c>
      <c r="F27" s="19" t="n">
        <v>53</v>
      </c>
      <c r="G27" s="19" t="n">
        <v>33</v>
      </c>
      <c r="H27" s="22">
        <f>IF(C27=0,0,(D27+E27+F27+G27)/C27*100)</f>
        <v/>
      </c>
      <c r="I27" s="20">
        <f>IF(C27=0,0,D27/C27*100)</f>
        <v/>
      </c>
      <c r="J27" s="22">
        <f>IF(C27=0,0,F27/C27*100)</f>
        <v/>
      </c>
      <c r="K27" s="20">
        <f>IF(C27=0,0,G27/C27*100)</f>
        <v/>
      </c>
      <c r="L27" s="20">
        <f>IF(C27=0,0,28/C27*100)</f>
        <v/>
      </c>
    </row>
    <row r="28" ht="18" customHeight="1">
      <c r="A28" s="14" t="n">
        <v>26</v>
      </c>
      <c r="B28" s="15" t="inlineStr">
        <is>
          <t>mucho nvidioso por ahí 😡@pccomponentes c</t>
        </is>
      </c>
      <c r="C28" s="16" t="n">
        <v>14831</v>
      </c>
      <c r="D28" s="16" t="n">
        <v>872</v>
      </c>
      <c r="E28" s="16" t="n">
        <v>21</v>
      </c>
      <c r="F28" s="16" t="n">
        <v>47</v>
      </c>
      <c r="G28" s="16" t="n">
        <v>130</v>
      </c>
      <c r="H28" s="22">
        <f>IF(C28=0,0,(D28+E28+F28+G28)/C28*100)</f>
        <v/>
      </c>
      <c r="I28" s="21">
        <f>IF(C28=0,0,D28/C28*100)</f>
        <v/>
      </c>
      <c r="J28" s="22">
        <f>IF(C28=0,0,F28/C28*100)</f>
        <v/>
      </c>
      <c r="K28" s="21">
        <f>IF(C28=0,0,G28/C28*100)</f>
        <v/>
      </c>
      <c r="L28" s="21">
        <f>IF(C28=0,0,41/C28*100)</f>
        <v/>
      </c>
    </row>
    <row r="29" ht="18" customHeight="1">
      <c r="A29" s="17" t="n">
        <v>27</v>
      </c>
      <c r="B29" s="18" t="inlineStr">
        <is>
          <t>promesas Null
#developer #techhumor #pr</t>
        </is>
      </c>
      <c r="C29" s="19" t="n">
        <v>15925</v>
      </c>
      <c r="D29" s="19" t="n">
        <v>1151</v>
      </c>
      <c r="E29" s="19" t="n">
        <v>16</v>
      </c>
      <c r="F29" s="19" t="n">
        <v>127</v>
      </c>
      <c r="G29" s="19" t="n">
        <v>142</v>
      </c>
      <c r="H29" s="22">
        <f>IF(C29=0,0,(D29+E29+F29+G29)/C29*100)</f>
        <v/>
      </c>
      <c r="I29" s="20">
        <f>IF(C29=0,0,D29/C29*100)</f>
        <v/>
      </c>
      <c r="J29" s="22">
        <f>IF(C29=0,0,F29/C29*100)</f>
        <v/>
      </c>
      <c r="K29" s="20">
        <f>IF(C29=0,0,G29/C29*100)</f>
        <v/>
      </c>
      <c r="L29" s="20">
        <f>IF(C29=0,0,71/C29*100)</f>
        <v/>
      </c>
    </row>
    <row r="30" ht="18" customHeight="1">
      <c r="A30" s="14" t="n">
        <v>28</v>
      </c>
      <c r="B30" s="15" t="inlineStr">
        <is>
          <t>RIP 🪦 Stack Overflow 
#stackoverflow #in</t>
        </is>
      </c>
      <c r="C30" s="16" t="n">
        <v>9590</v>
      </c>
      <c r="D30" s="16" t="n">
        <v>686</v>
      </c>
      <c r="E30" s="16" t="n">
        <v>12</v>
      </c>
      <c r="F30" s="16" t="n">
        <v>36</v>
      </c>
      <c r="G30" s="16" t="n">
        <v>89</v>
      </c>
      <c r="H30" s="22">
        <f>IF(C30=0,0,(D30+E30+F30+G30)/C30*100)</f>
        <v/>
      </c>
      <c r="I30" s="21">
        <f>IF(C30=0,0,D30/C30*100)</f>
        <v/>
      </c>
      <c r="J30" s="22">
        <f>IF(C30=0,0,F30/C30*100)</f>
        <v/>
      </c>
      <c r="K30" s="21">
        <f>IF(C30=0,0,G30/C30*100)</f>
        <v/>
      </c>
      <c r="L30" s="21">
        <f>IF(C30=0,0,22/C30*100)</f>
        <v/>
      </c>
    </row>
    <row r="31" ht="18" customHeight="1">
      <c r="A31" s="17" t="n">
        <v>29</v>
      </c>
      <c r="B31" s="18" t="inlineStr">
        <is>
          <t>besote si entendiste la referencia 😗
@ca</t>
        </is>
      </c>
      <c r="C31" s="19" t="n">
        <v>3611</v>
      </c>
      <c r="D31" s="19" t="n">
        <v>165</v>
      </c>
      <c r="E31" s="19" t="n">
        <v>2</v>
      </c>
      <c r="F31" s="19" t="n">
        <v>14</v>
      </c>
      <c r="G31" s="19" t="n">
        <v>17</v>
      </c>
      <c r="H31" s="22">
        <f>IF(C31=0,0,(D31+E31+F31+G31)/C31*100)</f>
        <v/>
      </c>
      <c r="I31" s="20">
        <f>IF(C31=0,0,D31/C31*100)</f>
        <v/>
      </c>
      <c r="J31" s="22">
        <f>IF(C31=0,0,F31/C31*100)</f>
        <v/>
      </c>
      <c r="K31" s="20">
        <f>IF(C31=0,0,G31/C31*100)</f>
        <v/>
      </c>
      <c r="L31" s="20">
        <f>IF(C31=0,0,17/C31*100)</f>
        <v/>
      </c>
    </row>
    <row r="32" ht="18" customHeight="1">
      <c r="A32" s="14" t="n">
        <v>30</v>
      </c>
      <c r="B32" s="15" t="inlineStr">
        <is>
          <t>lo siento profe
#programacion #techhumor</t>
        </is>
      </c>
      <c r="C32" s="16" t="n">
        <v>1599</v>
      </c>
      <c r="D32" s="16" t="n">
        <v>94</v>
      </c>
      <c r="E32" s="16" t="n">
        <v>1</v>
      </c>
      <c r="F32" s="16" t="n">
        <v>6</v>
      </c>
      <c r="G32" s="16" t="n">
        <v>20</v>
      </c>
      <c r="H32" s="22">
        <f>IF(C32=0,0,(D32+E32+F32+G32)/C32*100)</f>
        <v/>
      </c>
      <c r="I32" s="21">
        <f>IF(C32=0,0,D32/C32*100)</f>
        <v/>
      </c>
      <c r="J32" s="22">
        <f>IF(C32=0,0,F32/C32*100)</f>
        <v/>
      </c>
      <c r="K32" s="21">
        <f>IF(C32=0,0,G32/C32*100)</f>
        <v/>
      </c>
      <c r="L32" s="21">
        <f>IF(C32=0,0,2/C32*100)</f>
        <v/>
      </c>
    </row>
    <row r="33" ht="25" customHeight="1">
      <c r="A33" s="23" t="inlineStr">
        <is>
          <t>TOTAL / PROMEDIO</t>
        </is>
      </c>
      <c r="C33" s="24">
        <f>SUM(C3:C32)</f>
        <v/>
      </c>
      <c r="D33" s="24">
        <f>SUM(D3:D32)</f>
        <v/>
      </c>
      <c r="E33" s="24">
        <f>SUM(E3:E32)</f>
        <v/>
      </c>
      <c r="F33" s="24">
        <f>SUM(F3:F32)</f>
        <v/>
      </c>
      <c r="G33" s="24">
        <f>SUM(G3:G32)</f>
        <v/>
      </c>
      <c r="H33" s="25">
        <f>AVERAGE(H3:H32)</f>
        <v/>
      </c>
      <c r="I33" s="25">
        <f>AVERAGE(I3:I32)</f>
        <v/>
      </c>
      <c r="J33" s="25">
        <f>AVERAGE(J3:J32)</f>
        <v/>
      </c>
      <c r="K33" s="25">
        <f>AVERAGE(K3:K32)</f>
        <v/>
      </c>
      <c r="L33" s="25">
        <f>AVERAGE(L3:L32)</f>
        <v/>
      </c>
    </row>
  </sheetData>
  <mergeCells count="2">
    <mergeCell ref="A33:B3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2" customWidth="1" min="3" max="3"/>
    <col width="12" customWidth="1" min="4" max="4"/>
    <col width="9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6" customWidth="1" min="11" max="11"/>
    <col width="13" customWidth="1" min="12" max="12"/>
    <col width="14" customWidth="1" min="13" max="13"/>
  </cols>
  <sheetData>
    <row r="1" ht="35" customHeight="1">
      <c r="A1" s="1" t="inlineStr">
        <is>
          <t>📈 Métricas Avanzadas de Social Media — Instagram @aroaxinping</t>
        </is>
      </c>
    </row>
    <row r="2" ht="22" customHeight="1">
      <c r="A2" s="26" t="inlineStr">
        <is>
          <t>📖 Glosario de métricas</t>
        </is>
      </c>
    </row>
    <row r="3" ht="20" customHeight="1">
      <c r="A3" s="27" t="inlineStr">
        <is>
          <t>Follower Rate/1K</t>
        </is>
      </c>
      <c r="B3" s="28" t="inlineStr">
        <is>
          <t>Seguidores ganados por cada 1.000 vistas. Mide la eficiencia de conversión de cada Reel.</t>
        </is>
      </c>
    </row>
    <row r="4" ht="20" customHeight="1">
      <c r="A4" s="29" t="inlineStr">
        <is>
          <t>Reach Rate %</t>
        </is>
      </c>
      <c r="B4" s="30" t="inlineStr">
        <is>
          <t>Alcance / 8,728 seguidores × 100. % de tu comunidad que realmente ve el Reel.</t>
        </is>
      </c>
    </row>
    <row r="5" ht="20" customHeight="1">
      <c r="A5" s="27" t="inlineStr">
        <is>
          <t>Amplification Rate</t>
        </is>
      </c>
      <c r="B5" s="28" t="inlineStr">
        <is>
          <t>Compartidos / 8,728 seguidores × 100. Mide si tu comunidad te amplifica activamente.</t>
        </is>
      </c>
    </row>
    <row r="6" ht="20" customHeight="1">
      <c r="A6" s="29" t="inlineStr">
        <is>
          <t>Quality Score</t>
        </is>
      </c>
      <c r="B6" s="30" t="inlineStr">
        <is>
          <t>Save Rate × Engagement Rate / 100. En Instagram los guardados son la señal de calidad más potente.</t>
        </is>
      </c>
    </row>
    <row r="7" ht="20" customHeight="1">
      <c r="A7" s="27" t="inlineStr">
        <is>
          <t>Passive vs Active</t>
        </is>
      </c>
      <c r="B7" s="28" t="inlineStr">
        <is>
          <t>(Likes + Guardados) / (Comentarios + Compartidos). &gt;5 = audiencia pasiva; &lt;2 = muy activa e involucrada.</t>
        </is>
      </c>
    </row>
    <row r="8" ht="22" customHeight="1">
      <c r="A8" s="26" t="inlineStr">
        <is>
          <t>📊 Datos por Reel</t>
        </is>
      </c>
    </row>
    <row r="9" ht="32" customHeight="1">
      <c r="A9" s="2" t="inlineStr">
        <is>
          <t>#</t>
        </is>
      </c>
      <c r="B9" s="2" t="inlineStr">
        <is>
          <t>Descripción</t>
        </is>
      </c>
      <c r="C9" s="2" t="inlineStr">
        <is>
          <t>Vistas</t>
        </is>
      </c>
      <c r="D9" s="2" t="inlineStr">
        <is>
          <t>Alcance</t>
        </is>
      </c>
      <c r="E9" s="2" t="inlineStr">
        <is>
          <t>Seg.
Ganados</t>
        </is>
      </c>
      <c r="F9" s="2" t="inlineStr">
        <is>
          <t>Compartidos</t>
        </is>
      </c>
      <c r="G9" s="2" t="inlineStr">
        <is>
          <t>Likes</t>
        </is>
      </c>
      <c r="H9" s="2" t="inlineStr">
        <is>
          <t>Guardados</t>
        </is>
      </c>
      <c r="I9" s="2" t="inlineStr">
        <is>
          <t>Follower
Rate/1K</t>
        </is>
      </c>
      <c r="J9" s="2" t="inlineStr">
        <is>
          <t>Reach
Rate %</t>
        </is>
      </c>
      <c r="K9" s="2" t="inlineStr">
        <is>
          <t>Amplification
Rate %</t>
        </is>
      </c>
      <c r="L9" s="2" t="inlineStr">
        <is>
          <t>Quality
Score</t>
        </is>
      </c>
      <c r="M9" s="2" t="inlineStr">
        <is>
          <t>Passive vs
Active</t>
        </is>
      </c>
    </row>
    <row r="10" ht="18" customHeight="1">
      <c r="A10" s="14" t="n">
        <v>1</v>
      </c>
      <c r="B10" s="15" t="inlineStr">
        <is>
          <t>explicame 🐍 #programador #python #techhu</t>
        </is>
      </c>
      <c r="C10" s="16" t="n">
        <v>2649307</v>
      </c>
      <c r="D10" s="16" t="n">
        <v>1270432</v>
      </c>
      <c r="E10" s="16" t="n">
        <v>1962</v>
      </c>
      <c r="F10" s="16" t="n">
        <v>108272</v>
      </c>
      <c r="G10" s="16" t="n">
        <v>83075</v>
      </c>
      <c r="H10" s="16" t="n">
        <v>12934</v>
      </c>
      <c r="I10" s="22">
        <f>IF(C10=0,0,E10/C10*1000)</f>
        <v/>
      </c>
      <c r="J10" s="21">
        <f>IF(8728=0,0,D10/8728*100)</f>
        <v/>
      </c>
      <c r="K10" s="21">
        <f>IF(8728=0,0,F10/8728*100)</f>
        <v/>
      </c>
      <c r="L10" s="22">
        <f>IF(D10=0,0,(H10/D10*100)*((G10+800+H10+F10)/D10*100)/100)</f>
        <v/>
      </c>
      <c r="M10" s="21">
        <f>IF((800+F10)=0,"N/A",(G10+H10)/(800+F10))</f>
        <v/>
      </c>
    </row>
    <row r="11" ht="18" customHeight="1">
      <c r="A11" s="17" t="n">
        <v>2</v>
      </c>
      <c r="B11" s="18" t="inlineStr">
        <is>
          <t>alguien me ayuda?? @nvidiageforcees 😭
#t</t>
        </is>
      </c>
      <c r="C11" s="19" t="n">
        <v>1474479</v>
      </c>
      <c r="D11" s="19" t="n">
        <v>728868</v>
      </c>
      <c r="E11" s="19" t="n">
        <v>262</v>
      </c>
      <c r="F11" s="19" t="n">
        <v>10575</v>
      </c>
      <c r="G11" s="19" t="n">
        <v>115258</v>
      </c>
      <c r="H11" s="19" t="n">
        <v>3292</v>
      </c>
      <c r="I11" s="22">
        <f>IF(C11=0,0,E11/C11*1000)</f>
        <v/>
      </c>
      <c r="J11" s="20">
        <f>IF(8728=0,0,D11/8728*100)</f>
        <v/>
      </c>
      <c r="K11" s="20">
        <f>IF(8728=0,0,F11/8728*100)</f>
        <v/>
      </c>
      <c r="L11" s="22">
        <f>IF(D11=0,0,(H11/D11*100)*((G11+916+H11+F11)/D11*100)/100)</f>
        <v/>
      </c>
      <c r="M11" s="20">
        <f>IF((916+F11)=0,"N/A",(G11+H11)/(916+F11))</f>
        <v/>
      </c>
    </row>
    <row r="12" ht="18" customHeight="1">
      <c r="A12" s="14" t="n">
        <v>3</v>
      </c>
      <c r="B12" s="15" t="inlineStr">
        <is>
          <t>lo siento profe 
#programacion #techhumo</t>
        </is>
      </c>
      <c r="C12" s="16" t="n">
        <v>740676</v>
      </c>
      <c r="D12" s="16" t="n">
        <v>543713</v>
      </c>
      <c r="E12" s="16" t="n">
        <v>673</v>
      </c>
      <c r="F12" s="16" t="n">
        <v>24285</v>
      </c>
      <c r="G12" s="16" t="n">
        <v>66629</v>
      </c>
      <c r="H12" s="16" t="n">
        <v>3961</v>
      </c>
      <c r="I12" s="22">
        <f>IF(C12=0,0,E12/C12*1000)</f>
        <v/>
      </c>
      <c r="J12" s="21">
        <f>IF(8728=0,0,D12/8728*100)</f>
        <v/>
      </c>
      <c r="K12" s="21">
        <f>IF(8728=0,0,F12/8728*100)</f>
        <v/>
      </c>
      <c r="L12" s="22">
        <f>IF(D12=0,0,(H12/D12*100)*((G12+293+H12+F12)/D12*100)/100)</f>
        <v/>
      </c>
      <c r="M12" s="21">
        <f>IF((293+F12)=0,"N/A",(G12+H12)/(293+F12))</f>
        <v/>
      </c>
    </row>
    <row r="13" ht="18" customHeight="1">
      <c r="A13" s="17" t="n">
        <v>4</v>
      </c>
      <c r="B13" s="18" t="inlineStr">
        <is>
          <t>muy necesario el README
#techhumor #prog</t>
        </is>
      </c>
      <c r="C13" s="19" t="n">
        <v>318061</v>
      </c>
      <c r="D13" s="19" t="n">
        <v>211323</v>
      </c>
      <c r="E13" s="19" t="n">
        <v>904</v>
      </c>
      <c r="F13" s="19" t="n">
        <v>6073</v>
      </c>
      <c r="G13" s="19" t="n">
        <v>24292</v>
      </c>
      <c r="H13" s="19" t="n">
        <v>2194</v>
      </c>
      <c r="I13" s="22">
        <f>IF(C13=0,0,E13/C13*1000)</f>
        <v/>
      </c>
      <c r="J13" s="20">
        <f>IF(8728=0,0,D13/8728*100)</f>
        <v/>
      </c>
      <c r="K13" s="20">
        <f>IF(8728=0,0,F13/8728*100)</f>
        <v/>
      </c>
      <c r="L13" s="22">
        <f>IF(D13=0,0,(H13/D13*100)*((G13+235+H13+F13)/D13*100)/100)</f>
        <v/>
      </c>
      <c r="M13" s="20">
        <f>IF((235+F13)=0,"N/A",(G13+H13)/(235+F13))</f>
        <v/>
      </c>
    </row>
    <row r="14" ht="18" customHeight="1">
      <c r="A14" s="14" t="n">
        <v>5</v>
      </c>
      <c r="B14" s="15" t="inlineStr">
        <is>
          <t>Excel -ente SELECT 
#Sql #sqldeveloper #</t>
        </is>
      </c>
      <c r="C14" s="16" t="n">
        <v>203332</v>
      </c>
      <c r="D14" s="16" t="n">
        <v>81860</v>
      </c>
      <c r="E14" s="16" t="n">
        <v>165</v>
      </c>
      <c r="F14" s="16" t="n">
        <v>5485</v>
      </c>
      <c r="G14" s="16" t="n">
        <v>3029</v>
      </c>
      <c r="H14" s="16" t="n">
        <v>683</v>
      </c>
      <c r="I14" s="22">
        <f>IF(C14=0,0,E14/C14*1000)</f>
        <v/>
      </c>
      <c r="J14" s="21">
        <f>IF(8728=0,0,D14/8728*100)</f>
        <v/>
      </c>
      <c r="K14" s="21">
        <f>IF(8728=0,0,F14/8728*100)</f>
        <v/>
      </c>
      <c r="L14" s="22">
        <f>IF(D14=0,0,(H14/D14*100)*((G14+43+H14+F14)/D14*100)/100)</f>
        <v/>
      </c>
      <c r="M14" s="21">
        <f>IF((43+F14)=0,"N/A",(G14+H14)/(43+F14))</f>
        <v/>
      </c>
    </row>
    <row r="15" ht="18" customHeight="1">
      <c r="A15" s="17" t="n">
        <v>6</v>
      </c>
      <c r="B15" s="18" t="inlineStr">
        <is>
          <t>tú sabes??
#sql #techhumor #programacion</t>
        </is>
      </c>
      <c r="C15" s="19" t="n">
        <v>190982</v>
      </c>
      <c r="D15" s="19" t="n">
        <v>90965</v>
      </c>
      <c r="E15" s="19" t="n">
        <v>596</v>
      </c>
      <c r="F15" s="19" t="n">
        <v>4478</v>
      </c>
      <c r="G15" s="19" t="n">
        <v>5423</v>
      </c>
      <c r="H15" s="19" t="n">
        <v>979</v>
      </c>
      <c r="I15" s="22">
        <f>IF(C15=0,0,E15/C15*1000)</f>
        <v/>
      </c>
      <c r="J15" s="20">
        <f>IF(8728=0,0,D15/8728*100)</f>
        <v/>
      </c>
      <c r="K15" s="20">
        <f>IF(8728=0,0,F15/8728*100)</f>
        <v/>
      </c>
      <c r="L15" s="22">
        <f>IF(D15=0,0,(H15/D15*100)*((G15+109+H15+F15)/D15*100)/100)</f>
        <v/>
      </c>
      <c r="M15" s="20">
        <f>IF((109+F15)=0,"N/A",(G15+H15)/(109+F15))</f>
        <v/>
      </c>
    </row>
    <row r="16" ht="18" customHeight="1">
      <c r="A16" s="14" t="n">
        <v>7</v>
      </c>
      <c r="B16" s="15" t="inlineStr">
        <is>
          <t>preparadisimo para el mundo laboral #lee</t>
        </is>
      </c>
      <c r="C16" s="16" t="n">
        <v>160221</v>
      </c>
      <c r="D16" s="16" t="n">
        <v>104205</v>
      </c>
      <c r="E16" s="16" t="n">
        <v>234</v>
      </c>
      <c r="F16" s="16" t="n">
        <v>1969</v>
      </c>
      <c r="G16" s="16" t="n">
        <v>11192</v>
      </c>
      <c r="H16" s="16" t="n">
        <v>823</v>
      </c>
      <c r="I16" s="22">
        <f>IF(C16=0,0,E16/C16*1000)</f>
        <v/>
      </c>
      <c r="J16" s="21">
        <f>IF(8728=0,0,D16/8728*100)</f>
        <v/>
      </c>
      <c r="K16" s="21">
        <f>IF(8728=0,0,F16/8728*100)</f>
        <v/>
      </c>
      <c r="L16" s="22">
        <f>IF(D16=0,0,(H16/D16*100)*((G16+43+H16+F16)/D16*100)/100)</f>
        <v/>
      </c>
      <c r="M16" s="21">
        <f>IF((43+F16)=0,"N/A",(G16+H16)/(43+F16))</f>
        <v/>
      </c>
    </row>
    <row r="17" ht="18" customHeight="1">
      <c r="A17" s="17" t="n">
        <v>8</v>
      </c>
      <c r="B17" s="18" t="inlineStr">
        <is>
          <t>lo q mas duele en una ruptura 
#programa</t>
        </is>
      </c>
      <c r="C17" s="19" t="n">
        <v>155578</v>
      </c>
      <c r="D17" s="19" t="n">
        <v>92069</v>
      </c>
      <c r="E17" s="19" t="n">
        <v>253</v>
      </c>
      <c r="F17" s="19" t="n">
        <v>1803</v>
      </c>
      <c r="G17" s="19" t="n">
        <v>8690</v>
      </c>
      <c r="H17" s="19" t="n">
        <v>1627</v>
      </c>
      <c r="I17" s="22">
        <f>IF(C17=0,0,E17/C17*1000)</f>
        <v/>
      </c>
      <c r="J17" s="20">
        <f>IF(8728=0,0,D17/8728*100)</f>
        <v/>
      </c>
      <c r="K17" s="20">
        <f>IF(8728=0,0,F17/8728*100)</f>
        <v/>
      </c>
      <c r="L17" s="22">
        <f>IF(D17=0,0,(H17/D17*100)*((G17+97+H17+F17)/D17*100)/100)</f>
        <v/>
      </c>
      <c r="M17" s="20">
        <f>IF((97+F17)=0,"N/A",(G17+H17)/(97+F17))</f>
        <v/>
      </c>
    </row>
    <row r="18" ht="18" customHeight="1">
      <c r="A18" s="14" t="n">
        <v>9</v>
      </c>
      <c r="B18" s="15" t="inlineStr">
        <is>
          <t>una &lt;div&gt;a mi terminal #womenintech 
#te</t>
        </is>
      </c>
      <c r="C18" s="16" t="n">
        <v>146936</v>
      </c>
      <c r="D18" s="16" t="n">
        <v>85804</v>
      </c>
      <c r="E18" s="16" t="n">
        <v>281</v>
      </c>
      <c r="F18" s="16" t="n">
        <v>1344</v>
      </c>
      <c r="G18" s="16" t="n">
        <v>10750</v>
      </c>
      <c r="H18" s="16" t="n">
        <v>1200</v>
      </c>
      <c r="I18" s="22">
        <f>IF(C18=0,0,E18/C18*1000)</f>
        <v/>
      </c>
      <c r="J18" s="21">
        <f>IF(8728=0,0,D18/8728*100)</f>
        <v/>
      </c>
      <c r="K18" s="21">
        <f>IF(8728=0,0,F18/8728*100)</f>
        <v/>
      </c>
      <c r="L18" s="22">
        <f>IF(D18=0,0,(H18/D18*100)*((G18+72+H18+F18)/D18*100)/100)</f>
        <v/>
      </c>
      <c r="M18" s="21">
        <f>IF((72+F18)=0,"N/A",(G18+H18)/(72+F18))</f>
        <v/>
      </c>
    </row>
    <row r="19" ht="18" customHeight="1">
      <c r="A19" s="17" t="n">
        <v>10</v>
      </c>
      <c r="B19" s="18" t="inlineStr">
        <is>
          <t xml:space="preserve">no era mi tipo #techhumor #programacion </t>
        </is>
      </c>
      <c r="C19" s="19" t="n">
        <v>132205</v>
      </c>
      <c r="D19" s="19" t="n">
        <v>85940</v>
      </c>
      <c r="E19" s="19" t="n">
        <v>107</v>
      </c>
      <c r="F19" s="19" t="n">
        <v>1101</v>
      </c>
      <c r="G19" s="19" t="n">
        <v>9160</v>
      </c>
      <c r="H19" s="19" t="n">
        <v>1378</v>
      </c>
      <c r="I19" s="22">
        <f>IF(C19=0,0,E19/C19*1000)</f>
        <v/>
      </c>
      <c r="J19" s="20">
        <f>IF(8728=0,0,D19/8728*100)</f>
        <v/>
      </c>
      <c r="K19" s="20">
        <f>IF(8728=0,0,F19/8728*100)</f>
        <v/>
      </c>
      <c r="L19" s="22">
        <f>IF(D19=0,0,(H19/D19*100)*((G19+79+H19+F19)/D19*100)/100)</f>
        <v/>
      </c>
      <c r="M19" s="20">
        <f>IF((79+F19)=0,"N/A",(G19+H19)/(79+F19))</f>
        <v/>
      </c>
    </row>
    <row r="20" ht="18" customHeight="1">
      <c r="A20" s="14" t="n">
        <v>11</v>
      </c>
      <c r="B20" s="15" t="inlineStr">
        <is>
          <t>no hagas force push
#programacion #devel</t>
        </is>
      </c>
      <c r="C20" s="16" t="n">
        <v>131524</v>
      </c>
      <c r="D20" s="16" t="n">
        <v>92780</v>
      </c>
      <c r="E20" s="16" t="n">
        <v>285</v>
      </c>
      <c r="F20" s="16" t="n">
        <v>1582</v>
      </c>
      <c r="G20" s="16" t="n">
        <v>9640</v>
      </c>
      <c r="H20" s="16" t="n">
        <v>1455</v>
      </c>
      <c r="I20" s="22">
        <f>IF(C20=0,0,E20/C20*1000)</f>
        <v/>
      </c>
      <c r="J20" s="21">
        <f>IF(8728=0,0,D20/8728*100)</f>
        <v/>
      </c>
      <c r="K20" s="21">
        <f>IF(8728=0,0,F20/8728*100)</f>
        <v/>
      </c>
      <c r="L20" s="22">
        <f>IF(D20=0,0,(H20/D20*100)*((G20+93+H20+F20)/D20*100)/100)</f>
        <v/>
      </c>
      <c r="M20" s="21">
        <f>IF((93+F20)=0,"N/A",(G20+H20)/(93+F20))</f>
        <v/>
      </c>
    </row>
    <row r="21" ht="18" customHeight="1">
      <c r="A21" s="17" t="n">
        <v>12</v>
      </c>
      <c r="B21" s="18" t="inlineStr">
        <is>
          <t>no te confundas mi ciela
#techhumor #inf</t>
        </is>
      </c>
      <c r="C21" s="19" t="n">
        <v>126979</v>
      </c>
      <c r="D21" s="19" t="n">
        <v>86068</v>
      </c>
      <c r="E21" s="19" t="n">
        <v>24</v>
      </c>
      <c r="F21" s="19" t="n">
        <v>1559</v>
      </c>
      <c r="G21" s="19" t="n">
        <v>10416</v>
      </c>
      <c r="H21" s="19" t="n">
        <v>424</v>
      </c>
      <c r="I21" s="22">
        <f>IF(C21=0,0,E21/C21*1000)</f>
        <v/>
      </c>
      <c r="J21" s="20">
        <f>IF(8728=0,0,D21/8728*100)</f>
        <v/>
      </c>
      <c r="K21" s="20">
        <f>IF(8728=0,0,F21/8728*100)</f>
        <v/>
      </c>
      <c r="L21" s="22">
        <f>IF(D21=0,0,(H21/D21*100)*((G21+17+H21+F21)/D21*100)/100)</f>
        <v/>
      </c>
      <c r="M21" s="20">
        <f>IF((17+F21)=0,"N/A",(G21+H21)/(17+F21))</f>
        <v/>
      </c>
    </row>
    <row r="22" ht="18" customHeight="1">
      <c r="A22" s="14" t="n">
        <v>13</v>
      </c>
      <c r="B22" s="15" t="inlineStr">
        <is>
          <t xml:space="preserve">la espaldaaaa 
#techhumor #programacion </t>
        </is>
      </c>
      <c r="C22" s="16" t="n">
        <v>95327</v>
      </c>
      <c r="D22" s="16" t="n">
        <v>54850</v>
      </c>
      <c r="E22" s="16" t="n">
        <v>50</v>
      </c>
      <c r="F22" s="16" t="n">
        <v>474</v>
      </c>
      <c r="G22" s="16" t="n">
        <v>8900</v>
      </c>
      <c r="H22" s="16" t="n">
        <v>499</v>
      </c>
      <c r="I22" s="22">
        <f>IF(C22=0,0,E22/C22*1000)</f>
        <v/>
      </c>
      <c r="J22" s="21">
        <f>IF(8728=0,0,D22/8728*100)</f>
        <v/>
      </c>
      <c r="K22" s="21">
        <f>IF(8728=0,0,F22/8728*100)</f>
        <v/>
      </c>
      <c r="L22" s="22">
        <f>IF(D22=0,0,(H22/D22*100)*((G22+9+H22+F22)/D22*100)/100)</f>
        <v/>
      </c>
      <c r="M22" s="21">
        <f>IF((9+F22)=0,"N/A",(G22+H22)/(9+F22))</f>
        <v/>
      </c>
    </row>
    <row r="23" ht="18" customHeight="1">
      <c r="A23" s="17" t="n">
        <v>14</v>
      </c>
      <c r="B23" s="18" t="inlineStr">
        <is>
          <t>lo más difícil #programacion #informatic</t>
        </is>
      </c>
      <c r="C23" s="19" t="n">
        <v>92904</v>
      </c>
      <c r="D23" s="19" t="n">
        <v>62076</v>
      </c>
      <c r="E23" s="19" t="n">
        <v>74</v>
      </c>
      <c r="F23" s="19" t="n">
        <v>842</v>
      </c>
      <c r="G23" s="19" t="n">
        <v>7699</v>
      </c>
      <c r="H23" s="19" t="n">
        <v>396</v>
      </c>
      <c r="I23" s="22">
        <f>IF(C23=0,0,E23/C23*1000)</f>
        <v/>
      </c>
      <c r="J23" s="20">
        <f>IF(8728=0,0,D23/8728*100)</f>
        <v/>
      </c>
      <c r="K23" s="20">
        <f>IF(8728=0,0,F23/8728*100)</f>
        <v/>
      </c>
      <c r="L23" s="22">
        <f>IF(D23=0,0,(H23/D23*100)*((G23+19+H23+F23)/D23*100)/100)</f>
        <v/>
      </c>
      <c r="M23" s="20">
        <f>IF((19+F23)=0,"N/A",(G23+H23)/(19+F23))</f>
        <v/>
      </c>
    </row>
    <row r="24" ht="18" customHeight="1">
      <c r="A24" s="14" t="n">
        <v>15</v>
      </c>
      <c r="B24" s="15" t="inlineStr">
        <is>
          <t>php siempre funciona 💤 gracias @mouredev</t>
        </is>
      </c>
      <c r="C24" s="16" t="n">
        <v>90617</v>
      </c>
      <c r="D24" s="16" t="n">
        <v>51790</v>
      </c>
      <c r="E24" s="16" t="n">
        <v>213</v>
      </c>
      <c r="F24" s="16" t="n">
        <v>1431</v>
      </c>
      <c r="G24" s="16" t="n">
        <v>7158</v>
      </c>
      <c r="H24" s="16" t="n">
        <v>536</v>
      </c>
      <c r="I24" s="22">
        <f>IF(C24=0,0,E24/C24*1000)</f>
        <v/>
      </c>
      <c r="J24" s="21">
        <f>IF(8728=0,0,D24/8728*100)</f>
        <v/>
      </c>
      <c r="K24" s="21">
        <f>IF(8728=0,0,F24/8728*100)</f>
        <v/>
      </c>
      <c r="L24" s="22">
        <f>IF(D24=0,0,(H24/D24*100)*((G24+124+H24+F24)/D24*100)/100)</f>
        <v/>
      </c>
      <c r="M24" s="21">
        <f>IF((124+F24)=0,"N/A",(G24+H24)/(124+F24))</f>
        <v/>
      </c>
    </row>
    <row r="25" ht="18" customHeight="1">
      <c r="A25" s="17" t="n">
        <v>16</v>
      </c>
      <c r="B25" s="18" t="inlineStr">
        <is>
          <t>evento canónico 
#informatica #techhumor</t>
        </is>
      </c>
      <c r="C25" s="19" t="n">
        <v>86889</v>
      </c>
      <c r="D25" s="19" t="n">
        <v>48195</v>
      </c>
      <c r="E25" s="19" t="n">
        <v>67</v>
      </c>
      <c r="F25" s="19" t="n">
        <v>1176</v>
      </c>
      <c r="G25" s="19" t="n">
        <v>6646</v>
      </c>
      <c r="H25" s="19" t="n">
        <v>561</v>
      </c>
      <c r="I25" s="22">
        <f>IF(C25=0,0,E25/C25*1000)</f>
        <v/>
      </c>
      <c r="J25" s="20">
        <f>IF(8728=0,0,D25/8728*100)</f>
        <v/>
      </c>
      <c r="K25" s="20">
        <f>IF(8728=0,0,F25/8728*100)</f>
        <v/>
      </c>
      <c r="L25" s="22">
        <f>IF(D25=0,0,(H25/D25*100)*((G25+23+H25+F25)/D25*100)/100)</f>
        <v/>
      </c>
      <c r="M25" s="20">
        <f>IF((23+F25)=0,"N/A",(G25+H25)/(23+F25))</f>
        <v/>
      </c>
    </row>
    <row r="26" ht="18" customHeight="1">
      <c r="A26" s="14" t="n">
        <v>17</v>
      </c>
      <c r="B26" s="15" t="inlineStr">
        <is>
          <t>mándaselo, con cariño 💌
#techhumor #prog</t>
        </is>
      </c>
      <c r="C26" s="16" t="n">
        <v>70979</v>
      </c>
      <c r="D26" s="16" t="n">
        <v>42521</v>
      </c>
      <c r="E26" s="16" t="n">
        <v>188</v>
      </c>
      <c r="F26" s="16" t="n">
        <v>937</v>
      </c>
      <c r="G26" s="16" t="n">
        <v>2706</v>
      </c>
      <c r="H26" s="16" t="n">
        <v>533</v>
      </c>
      <c r="I26" s="22">
        <f>IF(C26=0,0,E26/C26*1000)</f>
        <v/>
      </c>
      <c r="J26" s="21">
        <f>IF(8728=0,0,D26/8728*100)</f>
        <v/>
      </c>
      <c r="K26" s="21">
        <f>IF(8728=0,0,F26/8728*100)</f>
        <v/>
      </c>
      <c r="L26" s="22">
        <f>IF(D26=0,0,(H26/D26*100)*((G26+33+H26+F26)/D26*100)/100)</f>
        <v/>
      </c>
      <c r="M26" s="21">
        <f>IF((33+F26)=0,"N/A",(G26+H26)/(33+F26))</f>
        <v/>
      </c>
    </row>
    <row r="27" ht="18" customHeight="1">
      <c r="A27" s="17" t="n">
        <v>18</v>
      </c>
      <c r="B27" s="18" t="inlineStr">
        <is>
          <t>besote si entendiste 🚩
#github #programa</t>
        </is>
      </c>
      <c r="C27" s="19" t="n">
        <v>54859</v>
      </c>
      <c r="D27" s="19" t="n">
        <v>32163</v>
      </c>
      <c r="E27" s="19" t="n">
        <v>204</v>
      </c>
      <c r="F27" s="19" t="n">
        <v>192</v>
      </c>
      <c r="G27" s="19" t="n">
        <v>1971</v>
      </c>
      <c r="H27" s="19" t="n">
        <v>196</v>
      </c>
      <c r="I27" s="22">
        <f>IF(C27=0,0,E27/C27*1000)</f>
        <v/>
      </c>
      <c r="J27" s="20">
        <f>IF(8728=0,0,D27/8728*100)</f>
        <v/>
      </c>
      <c r="K27" s="20">
        <f>IF(8728=0,0,F27/8728*100)</f>
        <v/>
      </c>
      <c r="L27" s="22">
        <f>IF(D27=0,0,(H27/D27*100)*((G27+21+H27+F27)/D27*100)/100)</f>
        <v/>
      </c>
      <c r="M27" s="20">
        <f>IF((21+F27)=0,"N/A",(G27+H27)/(21+F27))</f>
        <v/>
      </c>
    </row>
    <row r="28" ht="18" customHeight="1">
      <c r="A28" s="14" t="n">
        <v>19</v>
      </c>
      <c r="B28" s="15" t="inlineStr">
        <is>
          <t>dedícaselo a tu https ✉️
#techhumor #pro</t>
        </is>
      </c>
      <c r="C28" s="16" t="n">
        <v>54811</v>
      </c>
      <c r="D28" s="16" t="n">
        <v>33741</v>
      </c>
      <c r="E28" s="16" t="n">
        <v>312</v>
      </c>
      <c r="F28" s="16" t="n">
        <v>1059</v>
      </c>
      <c r="G28" s="16" t="n">
        <v>2979</v>
      </c>
      <c r="H28" s="16" t="n">
        <v>496</v>
      </c>
      <c r="I28" s="22">
        <f>IF(C28=0,0,E28/C28*1000)</f>
        <v/>
      </c>
      <c r="J28" s="21">
        <f>IF(8728=0,0,D28/8728*100)</f>
        <v/>
      </c>
      <c r="K28" s="21">
        <f>IF(8728=0,0,F28/8728*100)</f>
        <v/>
      </c>
      <c r="L28" s="22">
        <f>IF(D28=0,0,(H28/D28*100)*((G28+77+H28+F28)/D28*100)/100)</f>
        <v/>
      </c>
      <c r="M28" s="21">
        <f>IF((77+F28)=0,"N/A",(G28+H28)/(77+F28))</f>
        <v/>
      </c>
    </row>
    <row r="29" ht="18" customHeight="1">
      <c r="A29" s="17" t="n">
        <v>20</v>
      </c>
      <c r="B29" s="18" t="inlineStr">
        <is>
          <t>tutorial de terminal rosita 💅🏻 #womenint</t>
        </is>
      </c>
      <c r="C29" s="19" t="n">
        <v>45453</v>
      </c>
      <c r="D29" s="19" t="n">
        <v>32219</v>
      </c>
      <c r="E29" s="19" t="n">
        <v>224</v>
      </c>
      <c r="F29" s="19" t="n">
        <v>516</v>
      </c>
      <c r="G29" s="19" t="n">
        <v>1973</v>
      </c>
      <c r="H29" s="19" t="n">
        <v>906</v>
      </c>
      <c r="I29" s="22">
        <f>IF(C29=0,0,E29/C29*1000)</f>
        <v/>
      </c>
      <c r="J29" s="20">
        <f>IF(8728=0,0,D29/8728*100)</f>
        <v/>
      </c>
      <c r="K29" s="20">
        <f>IF(8728=0,0,F29/8728*100)</f>
        <v/>
      </c>
      <c r="L29" s="22">
        <f>IF(D29=0,0,(H29/D29*100)*((G29+26+H29+F29)/D29*100)/100)</f>
        <v/>
      </c>
      <c r="M29" s="20">
        <f>IF((26+F29)=0,"N/A",(G29+H29)/(26+F29))</f>
        <v/>
      </c>
    </row>
    <row r="30" ht="18" customHeight="1">
      <c r="A30" s="14" t="n">
        <v>21</v>
      </c>
      <c r="B30" s="15" t="inlineStr">
        <is>
          <t>recursión emocional // aropoemas
#poemas</t>
        </is>
      </c>
      <c r="C30" s="16" t="n">
        <v>40968</v>
      </c>
      <c r="D30" s="16" t="n">
        <v>28107</v>
      </c>
      <c r="E30" s="16" t="n">
        <v>299</v>
      </c>
      <c r="F30" s="16" t="n">
        <v>781</v>
      </c>
      <c r="G30" s="16" t="n">
        <v>2890</v>
      </c>
      <c r="H30" s="16" t="n">
        <v>446</v>
      </c>
      <c r="I30" s="22">
        <f>IF(C30=0,0,E30/C30*1000)</f>
        <v/>
      </c>
      <c r="J30" s="21">
        <f>IF(8728=0,0,D30/8728*100)</f>
        <v/>
      </c>
      <c r="K30" s="21">
        <f>IF(8728=0,0,F30/8728*100)</f>
        <v/>
      </c>
      <c r="L30" s="22">
        <f>IF(D30=0,0,(H30/D30*100)*((G30+94+H30+F30)/D30*100)/100)</f>
        <v/>
      </c>
      <c r="M30" s="21">
        <f>IF((94+F30)=0,"N/A",(G30+H30)/(94+F30))</f>
        <v/>
      </c>
    </row>
    <row r="31" ht="18" customHeight="1">
      <c r="A31" s="17" t="n">
        <v>22</v>
      </c>
      <c r="B31" s="18" t="inlineStr">
        <is>
          <t>y yo no era ni la [3]
 #programacion #te</t>
        </is>
      </c>
      <c r="C31" s="19" t="n">
        <v>36406</v>
      </c>
      <c r="D31" s="19" t="n">
        <v>19644</v>
      </c>
      <c r="E31" s="19" t="n">
        <v>53</v>
      </c>
      <c r="F31" s="19" t="n">
        <v>173</v>
      </c>
      <c r="G31" s="19" t="n">
        <v>913</v>
      </c>
      <c r="H31" s="19" t="n">
        <v>85</v>
      </c>
      <c r="I31" s="22">
        <f>IF(C31=0,0,E31/C31*1000)</f>
        <v/>
      </c>
      <c r="J31" s="20">
        <f>IF(8728=0,0,D31/8728*100)</f>
        <v/>
      </c>
      <c r="K31" s="20">
        <f>IF(8728=0,0,F31/8728*100)</f>
        <v/>
      </c>
      <c r="L31" s="22">
        <f>IF(D31=0,0,(H31/D31*100)*((G31+15+H31+F31)/D31*100)/100)</f>
        <v/>
      </c>
      <c r="M31" s="20">
        <f>IF((15+F31)=0,"N/A",(G31+H31)/(15+F31))</f>
        <v/>
      </c>
    </row>
    <row r="32" ht="18" customHeight="1">
      <c r="A32" s="14" t="n">
        <v>23</v>
      </c>
      <c r="B32" s="15" t="inlineStr">
        <is>
          <t>gracias por el cumplido 
#ram #techhumor</t>
        </is>
      </c>
      <c r="C32" s="16" t="n">
        <v>34372</v>
      </c>
      <c r="D32" s="16" t="n">
        <v>23969</v>
      </c>
      <c r="E32" s="16" t="n">
        <v>53</v>
      </c>
      <c r="F32" s="16" t="n">
        <v>229</v>
      </c>
      <c r="G32" s="16" t="n">
        <v>2101</v>
      </c>
      <c r="H32" s="16" t="n">
        <v>111</v>
      </c>
      <c r="I32" s="22">
        <f>IF(C32=0,0,E32/C32*1000)</f>
        <v/>
      </c>
      <c r="J32" s="21">
        <f>IF(8728=0,0,D32/8728*100)</f>
        <v/>
      </c>
      <c r="K32" s="21">
        <f>IF(8728=0,0,F32/8728*100)</f>
        <v/>
      </c>
      <c r="L32" s="22">
        <f>IF(D32=0,0,(H32/D32*100)*((G32+31+H32+F32)/D32*100)/100)</f>
        <v/>
      </c>
      <c r="M32" s="21">
        <f>IF((31+F32)=0,"N/A",(G32+H32)/(31+F32))</f>
        <v/>
      </c>
    </row>
    <row r="33" ht="18" customHeight="1">
      <c r="A33" s="17" t="n">
        <v>24</v>
      </c>
      <c r="B33" s="18" t="inlineStr">
        <is>
          <t>y tú lo sabes?
#programacion #informatic</t>
        </is>
      </c>
      <c r="C33" s="19" t="n">
        <v>29834</v>
      </c>
      <c r="D33" s="19" t="n">
        <v>21210</v>
      </c>
      <c r="E33" s="19" t="n">
        <v>18</v>
      </c>
      <c r="F33" s="19" t="n">
        <v>295</v>
      </c>
      <c r="G33" s="19" t="n">
        <v>1743</v>
      </c>
      <c r="H33" s="19" t="n">
        <v>108</v>
      </c>
      <c r="I33" s="22">
        <f>IF(C33=0,0,E33/C33*1000)</f>
        <v/>
      </c>
      <c r="J33" s="20">
        <f>IF(8728=0,0,D33/8728*100)</f>
        <v/>
      </c>
      <c r="K33" s="20">
        <f>IF(8728=0,0,F33/8728*100)</f>
        <v/>
      </c>
      <c r="L33" s="22">
        <f>IF(D33=0,0,(H33/D33*100)*((G33+7+H33+F33)/D33*100)/100)</f>
        <v/>
      </c>
      <c r="M33" s="20">
        <f>IF((7+F33)=0,"N/A",(G33+H33)/(7+F33))</f>
        <v/>
      </c>
    </row>
    <row r="34" ht="18" customHeight="1">
      <c r="A34" s="14" t="n">
        <v>25</v>
      </c>
      <c r="B34" s="15" t="inlineStr">
        <is>
          <t>te amo mi chico informático 
#programado</t>
        </is>
      </c>
      <c r="C34" s="16" t="n">
        <v>29606</v>
      </c>
      <c r="D34" s="16" t="n">
        <v>17377</v>
      </c>
      <c r="E34" s="16" t="n">
        <v>28</v>
      </c>
      <c r="F34" s="16" t="n">
        <v>33</v>
      </c>
      <c r="G34" s="16" t="n">
        <v>361</v>
      </c>
      <c r="H34" s="16" t="n">
        <v>53</v>
      </c>
      <c r="I34" s="22">
        <f>IF(C34=0,0,E34/C34*1000)</f>
        <v/>
      </c>
      <c r="J34" s="21">
        <f>IF(8728=0,0,D34/8728*100)</f>
        <v/>
      </c>
      <c r="K34" s="21">
        <f>IF(8728=0,0,F34/8728*100)</f>
        <v/>
      </c>
      <c r="L34" s="22">
        <f>IF(D34=0,0,(H34/D34*100)*((G34+10+H34+F34)/D34*100)/100)</f>
        <v/>
      </c>
      <c r="M34" s="21">
        <f>IF((10+F34)=0,"N/A",(G34+H34)/(10+F34))</f>
        <v/>
      </c>
    </row>
    <row r="35" ht="18" customHeight="1">
      <c r="A35" s="17" t="n">
        <v>26</v>
      </c>
      <c r="B35" s="18" t="inlineStr">
        <is>
          <t>mucho nvidioso por ahí 😡@pccomponentes c</t>
        </is>
      </c>
      <c r="C35" s="19" t="n">
        <v>27993</v>
      </c>
      <c r="D35" s="19" t="n">
        <v>14831</v>
      </c>
      <c r="E35" s="19" t="n">
        <v>41</v>
      </c>
      <c r="F35" s="19" t="n">
        <v>130</v>
      </c>
      <c r="G35" s="19" t="n">
        <v>872</v>
      </c>
      <c r="H35" s="19" t="n">
        <v>47</v>
      </c>
      <c r="I35" s="22">
        <f>IF(C35=0,0,E35/C35*1000)</f>
        <v/>
      </c>
      <c r="J35" s="20">
        <f>IF(8728=0,0,D35/8728*100)</f>
        <v/>
      </c>
      <c r="K35" s="20">
        <f>IF(8728=0,0,F35/8728*100)</f>
        <v/>
      </c>
      <c r="L35" s="22">
        <f>IF(D35=0,0,(H35/D35*100)*((G35+21+H35+F35)/D35*100)/100)</f>
        <v/>
      </c>
      <c r="M35" s="20">
        <f>IF((21+F35)=0,"N/A",(G35+H35)/(21+F35))</f>
        <v/>
      </c>
    </row>
    <row r="36" ht="18" customHeight="1">
      <c r="A36" s="14" t="n">
        <v>27</v>
      </c>
      <c r="B36" s="15" t="inlineStr">
        <is>
          <t>promesas Null
#developer #techhumor #pr</t>
        </is>
      </c>
      <c r="C36" s="16" t="n">
        <v>25943</v>
      </c>
      <c r="D36" s="16" t="n">
        <v>15925</v>
      </c>
      <c r="E36" s="16" t="n">
        <v>71</v>
      </c>
      <c r="F36" s="16" t="n">
        <v>142</v>
      </c>
      <c r="G36" s="16" t="n">
        <v>1151</v>
      </c>
      <c r="H36" s="16" t="n">
        <v>127</v>
      </c>
      <c r="I36" s="22">
        <f>IF(C36=0,0,E36/C36*1000)</f>
        <v/>
      </c>
      <c r="J36" s="21">
        <f>IF(8728=0,0,D36/8728*100)</f>
        <v/>
      </c>
      <c r="K36" s="21">
        <f>IF(8728=0,0,F36/8728*100)</f>
        <v/>
      </c>
      <c r="L36" s="22">
        <f>IF(D36=0,0,(H36/D36*100)*((G36+16+H36+F36)/D36*100)/100)</f>
        <v/>
      </c>
      <c r="M36" s="21">
        <f>IF((16+F36)=0,"N/A",(G36+H36)/(16+F36))</f>
        <v/>
      </c>
    </row>
    <row r="37" ht="18" customHeight="1">
      <c r="A37" s="17" t="n">
        <v>28</v>
      </c>
      <c r="B37" s="18" t="inlineStr">
        <is>
          <t>RIP 🪦 Stack Overflow 
#stackoverflow #in</t>
        </is>
      </c>
      <c r="C37" s="19" t="n">
        <v>14994</v>
      </c>
      <c r="D37" s="19" t="n">
        <v>9590</v>
      </c>
      <c r="E37" s="19" t="n">
        <v>22</v>
      </c>
      <c r="F37" s="19" t="n">
        <v>89</v>
      </c>
      <c r="G37" s="19" t="n">
        <v>686</v>
      </c>
      <c r="H37" s="19" t="n">
        <v>36</v>
      </c>
      <c r="I37" s="22">
        <f>IF(C37=0,0,E37/C37*1000)</f>
        <v/>
      </c>
      <c r="J37" s="20">
        <f>IF(8728=0,0,D37/8728*100)</f>
        <v/>
      </c>
      <c r="K37" s="20">
        <f>IF(8728=0,0,F37/8728*100)</f>
        <v/>
      </c>
      <c r="L37" s="22">
        <f>IF(D37=0,0,(H37/D37*100)*((G37+12+H37+F37)/D37*100)/100)</f>
        <v/>
      </c>
      <c r="M37" s="20">
        <f>IF((12+F37)=0,"N/A",(G37+H37)/(12+F37))</f>
        <v/>
      </c>
    </row>
    <row r="38" ht="18" customHeight="1">
      <c r="A38" s="14" t="n">
        <v>29</v>
      </c>
      <c r="B38" s="15" t="inlineStr">
        <is>
          <t>besote si entendiste la referencia 😗
@ca</t>
        </is>
      </c>
      <c r="C38" s="16" t="n">
        <v>5266</v>
      </c>
      <c r="D38" s="16" t="n">
        <v>3611</v>
      </c>
      <c r="E38" s="16" t="n">
        <v>17</v>
      </c>
      <c r="F38" s="16" t="n">
        <v>17</v>
      </c>
      <c r="G38" s="16" t="n">
        <v>165</v>
      </c>
      <c r="H38" s="16" t="n">
        <v>14</v>
      </c>
      <c r="I38" s="22">
        <f>IF(C38=0,0,E38/C38*1000)</f>
        <v/>
      </c>
      <c r="J38" s="21">
        <f>IF(8728=0,0,D38/8728*100)</f>
        <v/>
      </c>
      <c r="K38" s="21">
        <f>IF(8728=0,0,F38/8728*100)</f>
        <v/>
      </c>
      <c r="L38" s="22">
        <f>IF(D38=0,0,(H38/D38*100)*((G38+2+H38+F38)/D38*100)/100)</f>
        <v/>
      </c>
      <c r="M38" s="21">
        <f>IF((2+F38)=0,"N/A",(G38+H38)/(2+F38))</f>
        <v/>
      </c>
    </row>
    <row r="39" ht="18" customHeight="1">
      <c r="A39" s="17" t="n">
        <v>30</v>
      </c>
      <c r="B39" s="18" t="inlineStr">
        <is>
          <t>lo siento profe
#programacion #techhumor</t>
        </is>
      </c>
      <c r="C39" s="19" t="n">
        <v>1851</v>
      </c>
      <c r="D39" s="19" t="n">
        <v>1599</v>
      </c>
      <c r="E39" s="19" t="n">
        <v>2</v>
      </c>
      <c r="F39" s="19" t="n">
        <v>20</v>
      </c>
      <c r="G39" s="19" t="n">
        <v>94</v>
      </c>
      <c r="H39" s="19" t="n">
        <v>6</v>
      </c>
      <c r="I39" s="22">
        <f>IF(C39=0,0,E39/C39*1000)</f>
        <v/>
      </c>
      <c r="J39" s="20">
        <f>IF(8728=0,0,D39/8728*100)</f>
        <v/>
      </c>
      <c r="K39" s="20">
        <f>IF(8728=0,0,F39/8728*100)</f>
        <v/>
      </c>
      <c r="L39" s="22">
        <f>IF(D39=0,0,(H39/D39*100)*((G39+1+H39+F39)/D39*100)/100)</f>
        <v/>
      </c>
      <c r="M39" s="20">
        <f>IF((1+F39)=0,"N/A",(G39+H39)/(1+F39))</f>
        <v/>
      </c>
    </row>
    <row r="40" ht="25" customHeight="1">
      <c r="A40" s="23" t="inlineStr">
        <is>
          <t>PROMEDIO</t>
        </is>
      </c>
      <c r="C40" s="24">
        <f>AVERAGE(C10:C39)</f>
        <v/>
      </c>
      <c r="D40" s="24">
        <f>AVERAGE(D10:D39)</f>
        <v/>
      </c>
      <c r="E40" s="24">
        <f>AVERAGE(E10:E39)</f>
        <v/>
      </c>
      <c r="F40" s="24">
        <f>AVERAGE(F10:F39)</f>
        <v/>
      </c>
      <c r="G40" s="24">
        <f>AVERAGE(G10:G39)</f>
        <v/>
      </c>
      <c r="H40" s="24">
        <f>AVERAGE(H10:H39)</f>
        <v/>
      </c>
      <c r="I40" s="25">
        <f>AVERAGE(I10:I39)</f>
        <v/>
      </c>
      <c r="J40" s="25">
        <f>AVERAGE(J10:J39)</f>
        <v/>
      </c>
      <c r="K40" s="25">
        <f>AVERAGE(K10:K39)</f>
        <v/>
      </c>
      <c r="L40" s="25">
        <f>AVERAGE(L10:L39)</f>
        <v/>
      </c>
      <c r="M40" s="25">
        <f>AVERAGE(M10:M39)</f>
        <v/>
      </c>
    </row>
  </sheetData>
  <mergeCells count="4">
    <mergeCell ref="A40:B40"/>
    <mergeCell ref="A2:B2"/>
    <mergeCell ref="A8:J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2026-03-25T09:48:32Z</dcterms:created>
  <dcterms:modified xmlns:dcterms="http://purl.org/dc/terms/" xmlns:xsi="http://www.w3.org/2001/XMLSchema-instance" xsi:type="dcterms:W3CDTF">2026-03-25T09:48:32Z</dcterms:modified>
</cp:coreProperties>
</file>